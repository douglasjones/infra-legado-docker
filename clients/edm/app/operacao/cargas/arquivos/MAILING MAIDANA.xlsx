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01"/>
  <workbookPr defaultThemeVersion="164011"/>
  <mc:AlternateContent xmlns:mc="http://schemas.openxmlformats.org/markup-compatibility/2006">
    <mc:Choice Requires="x15">
      <x15ac:absPath xmlns:x15ac="http://schemas.microsoft.com/office/spreadsheetml/2010/11/ac" url="C:\Google Drive\CONSULTING\MAILING\"/>
    </mc:Choice>
  </mc:AlternateContent>
  <bookViews>
    <workbookView xWindow="0" yWindow="0" windowWidth="20490" windowHeight="753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2" i="1"/>
</calcChain>
</file>

<file path=xl/comments1.xml><?xml version="1.0" encoding="utf-8"?>
<comments xmlns="http://schemas.openxmlformats.org/spreadsheetml/2006/main">
  <authors>
    <author/>
  </authors>
  <commentList>
    <comment ref="A1" authorId="0" shapeId="0">
      <text>
        <r>
          <rPr>
            <sz val="9"/>
            <color indexed="81"/>
            <rFont val="Segoe UI"/>
            <charset val="1"/>
          </rPr>
          <t>Frederico Almeida:
Não importar registros com hífen e barra nesta coluna. Usar apenas números.</t>
        </r>
      </text>
    </comment>
    <comment ref="B1" authorId="0" shapeId="0">
      <text>
        <r>
          <rPr>
            <sz val="9"/>
            <color indexed="81"/>
            <rFont val="Segoe UI"/>
            <charset val="1"/>
          </rPr>
          <t>Frederico Almeida:
Esta coluna é obrigatória. Por isso, ela está em vermelho. Quando for encontrada uma célula em branco nesta coluna, o programa entenderá que o arquivo a ser importado chegou ao fim e encerrará a importação.
Ela é utilizada para receber nome de pessoa física ou jurídica.
Regra: 
1) Se o campo CPF estiver em branco, o campo NOME passa a ser o único a ser analisado nos casos de  desempate. Se encontrar algum registro com nome IDÊNTICO, os demais dados serão atualizados. 
2) Se o CPF estiver preenchido, primeiramente o sistema verifica se já existe algum cliente cadastrado com este CPF, se encontrar algum, este terá os demais dados atualizados, caso não encontre nenhum cliente com o CPF a ser importado, este será acrescentado à sua base de dados.
3) Nos casos em que o cliente tiver seus dados atualizados, as colunas preenchidas irão sobrescrever os dados que constarem em seus respectivos campos no cadastro deste cliente. As colunas que estiverem em branco, não terão efeito.</t>
        </r>
      </text>
    </comment>
    <comment ref="M1" authorId="0" shapeId="0">
      <text>
        <r>
          <rPr>
            <sz val="9"/>
            <color indexed="81"/>
            <rFont val="Segoe UI"/>
            <charset val="1"/>
          </rPr>
          <t xml:space="preserve">Frederico Almeida:
Este campo, normalmente, é o nome da pessoa de contato. É muito útil quando a coluna nome é utilizada para inserir o nome da empresa a ser contatada. </t>
        </r>
      </text>
    </comment>
    <comment ref="N1" authorId="0" shapeId="0">
      <text>
        <r>
          <rPr>
            <sz val="9"/>
            <color indexed="81"/>
            <rFont val="Segoe UI"/>
            <charset val="1"/>
          </rPr>
          <t>Frederico Almeida:
Coluna usada para inserir o primeiro telefone de contato. De preferência, inserir o telefone mais relevante, já que por ser o primeiro, normalmente é o que é usado na primeira tentativa de contato.</t>
        </r>
      </text>
    </comment>
    <comment ref="Q1" authorId="0" shapeId="0">
      <text>
        <r>
          <rPr>
            <sz val="9"/>
            <color indexed="81"/>
            <rFont val="Segoe UI"/>
            <charset val="1"/>
          </rPr>
          <t>Frederico Almeida:
Este é um campo em que pode ser usado para inserir uma descrição maior sobre o cliente. 
De preferência uma informação que não possua um campo específico.</t>
        </r>
      </text>
    </comment>
    <comment ref="S1" authorId="0" shapeId="0">
      <text>
        <r>
          <rPr>
            <sz val="9"/>
            <color indexed="81"/>
            <rFont val="Segoe UI"/>
            <charset val="1"/>
          </rPr>
          <t>Frederico Almeida:
Se houver nesta coluna algum nome de TIPO DE PESSOA que não exista no seu banco de dados, este será acrescentado durante a importação.</t>
        </r>
      </text>
    </comment>
    <comment ref="T1" authorId="0" shapeId="0">
      <text>
        <r>
          <rPr>
            <sz val="9"/>
            <color indexed="81"/>
            <rFont val="Segoe UI"/>
            <charset val="1"/>
          </rPr>
          <t>Frederico Almeida:
Normalmente, usado para inserir o nome do REPRESENTATE EXTERNO responsável pelo atendimento deste.
Se for inserido um nome de representante que não exista no banco de dados, este será incluído.</t>
        </r>
      </text>
    </comment>
  </commentList>
</comments>
</file>

<file path=xl/sharedStrings.xml><?xml version="1.0" encoding="utf-8"?>
<sst xmlns="http://schemas.openxmlformats.org/spreadsheetml/2006/main" count="1716" uniqueCount="558">
  <si>
    <t>CNPJ</t>
  </si>
  <si>
    <t>Nº</t>
  </si>
  <si>
    <t>Bairro</t>
  </si>
  <si>
    <t>Cidade</t>
  </si>
  <si>
    <t>UF</t>
  </si>
  <si>
    <t xml:space="preserve">LINHAS </t>
  </si>
  <si>
    <t>FATURA</t>
  </si>
  <si>
    <t>PANIFICADORA NOVA MARFIM LTDA</t>
  </si>
  <si>
    <t>R ANTONIO DE BARROS</t>
  </si>
  <si>
    <t>TATUAPE</t>
  </si>
  <si>
    <t>SAO PAULO</t>
  </si>
  <si>
    <t>SP</t>
  </si>
  <si>
    <t>6.53</t>
  </si>
  <si>
    <t>RAIMUNDO ALVES DE SOUZA</t>
  </si>
  <si>
    <t>STAR MASTER IDIOMAS E INTERCAMBIOS LTDA</t>
  </si>
  <si>
    <t>RUA ANTÔNIO DE BARROS</t>
  </si>
  <si>
    <t>TATUAPÉ</t>
  </si>
  <si>
    <t>SÃO PAULO</t>
  </si>
  <si>
    <t>133.58</t>
  </si>
  <si>
    <t>DORIVAL ANTONES DE ARAUJO</t>
  </si>
  <si>
    <t>MARIE@USAINTERNATIONAL.COM.BR</t>
  </si>
  <si>
    <t>RAMACCIOTTE REPRESENTACOES LTDA - ME</t>
  </si>
  <si>
    <t>RUA IVAÍ</t>
  </si>
  <si>
    <t>103.93</t>
  </si>
  <si>
    <t>ROBERTO RAMACCIOTTE DOS SANTOS</t>
  </si>
  <si>
    <t>RAMACCIOTTE@RAMACCIOTTE.COM.BR</t>
  </si>
  <si>
    <t>DENTAL RICARDO TANAKA LTDA</t>
  </si>
  <si>
    <t>RUA TUIUTI</t>
  </si>
  <si>
    <t>2.38</t>
  </si>
  <si>
    <t>ELISEU TANAKA</t>
  </si>
  <si>
    <t>dtanakaeliseu@terra.com.br</t>
  </si>
  <si>
    <t>CAIXASONLINE COMERCIO DE EMBALAGENS LTDA</t>
  </si>
  <si>
    <t>R TUIUTI</t>
  </si>
  <si>
    <t>51.18</t>
  </si>
  <si>
    <t>EMERSON LUIZ DELBONI</t>
  </si>
  <si>
    <t>eme@caixasnet.com.br</t>
  </si>
  <si>
    <t>EVIEIRA DE O KLAIC PERFUMES EPP</t>
  </si>
  <si>
    <t>PRAÇA SILVIO ROMERO</t>
  </si>
  <si>
    <t>218.46</t>
  </si>
  <si>
    <t>VILSON VIEIRA DE OLIVEIRA</t>
  </si>
  <si>
    <t>NIKKEY - COSMETICOS LTDA</t>
  </si>
  <si>
    <t>R COELHO LISBOA</t>
  </si>
  <si>
    <t>148.00</t>
  </si>
  <si>
    <t>KATSUSHI JYO</t>
  </si>
  <si>
    <t>JYO@NIKKEY.NET</t>
  </si>
  <si>
    <t>SELMA LIMA</t>
  </si>
  <si>
    <t>R AZEVEDO SOARES</t>
  </si>
  <si>
    <t>38.00</t>
  </si>
  <si>
    <t>selima.milleniun@gmail.com</t>
  </si>
  <si>
    <t>MARCO AURELIO RISSIGNOLO ME</t>
  </si>
  <si>
    <t>96.83</t>
  </si>
  <si>
    <t>MARCO AURELIO RISSIGNOLO</t>
  </si>
  <si>
    <t>ODONTOLOGIA GRANDINI LTDA</t>
  </si>
  <si>
    <t>CELSO GARCIA</t>
  </si>
  <si>
    <t>30.97</t>
  </si>
  <si>
    <t>EDSON TADEU SIMOES</t>
  </si>
  <si>
    <t>fatorcontabil@terra.com.br</t>
  </si>
  <si>
    <t>KLEITON ROBERTO S NUNES - ME</t>
  </si>
  <si>
    <t>DONA MARIA DE CAMARGO</t>
  </si>
  <si>
    <t>ITAQUERA</t>
  </si>
  <si>
    <t>174.60</t>
  </si>
  <si>
    <t>KLEITON ROBERTO DE SOUZA NUNES</t>
  </si>
  <si>
    <t>kleiton.nunes@uol.com.br</t>
  </si>
  <si>
    <t>GUSTAVO VICARI MAINTINGUER</t>
  </si>
  <si>
    <t>ICARAI</t>
  </si>
  <si>
    <t>0.00</t>
  </si>
  <si>
    <t>EDNEI LOPES LUPPI</t>
  </si>
  <si>
    <t>RUA PITANGUI</t>
  </si>
  <si>
    <t>36.83</t>
  </si>
  <si>
    <t>FRED LOPES LUPPI</t>
  </si>
  <si>
    <t>fred@graficaluppi.com.br</t>
  </si>
  <si>
    <t>J F RESTAURANTE E PIZZARIA</t>
  </si>
  <si>
    <t>SALIM FARAH MALUF</t>
  </si>
  <si>
    <t>96.60</t>
  </si>
  <si>
    <t>FRANCISCA CARDOSO</t>
  </si>
  <si>
    <t>MEMORIARTE EDITORA LTDA</t>
  </si>
  <si>
    <t>ENGENHO VELHO</t>
  </si>
  <si>
    <t>1.00</t>
  </si>
  <si>
    <t>FLAVIA FERNANDA TERZI REZENDE</t>
  </si>
  <si>
    <t>flaviaterzi@gmail.com</t>
  </si>
  <si>
    <t>A P SERV LTDA EPP</t>
  </si>
  <si>
    <t>HEITOR LEVY</t>
  </si>
  <si>
    <t>MARLENE CEGLIA</t>
  </si>
  <si>
    <t>adm@apservsp.com.br</t>
  </si>
  <si>
    <t>SONIA ROCHA</t>
  </si>
  <si>
    <t>R JOSE OTICICA FILHO</t>
  </si>
  <si>
    <t>74.13</t>
  </si>
  <si>
    <t>GIVANILDO LUIZ DE SOUZA CRUZ</t>
  </si>
  <si>
    <t>givanildo@coesbra.com.br</t>
  </si>
  <si>
    <t>FOTO E VIDEO FRATINI LTDA ME</t>
  </si>
  <si>
    <t>AMERICO SALVADOR NOVELLI</t>
  </si>
  <si>
    <t>1350.66</t>
  </si>
  <si>
    <t>SERGIO FRATINI FILHO</t>
  </si>
  <si>
    <t>SVFRATINI@HOTMAIL.COM</t>
  </si>
  <si>
    <t>CRISTIANO SILVA MARIANO</t>
  </si>
  <si>
    <t>SOUSA DE MENEZES</t>
  </si>
  <si>
    <t>26.40</t>
  </si>
  <si>
    <t>CRISTIANO SILVA MARIANO ME</t>
  </si>
  <si>
    <t>detectaprestadora@ig.com.br</t>
  </si>
  <si>
    <t>EMERSON PAZINATO-ME</t>
  </si>
  <si>
    <t>MARIA LUIZA AMERICANO</t>
  </si>
  <si>
    <t>169.00</t>
  </si>
  <si>
    <t>EMERSON PAZINATO</t>
  </si>
  <si>
    <t>VALTER13@GLOBOMAIL.COM</t>
  </si>
  <si>
    <t>IMOBILIARIA AZZUMO SC LTDA</t>
  </si>
  <si>
    <t>FONTOURA XAVIER</t>
  </si>
  <si>
    <t>222.29</t>
  </si>
  <si>
    <t>MARIA DELMA ARAUJO RAMOS</t>
  </si>
  <si>
    <t>delmaramos@adv.oabsp.org.br</t>
  </si>
  <si>
    <t>ASSOCIACAO SOCIO CULTURAL ORQUESTRA FILA</t>
  </si>
  <si>
    <t>RUA ARARA AZUL</t>
  </si>
  <si>
    <t>CARLOS ROBERTO DA SILVA</t>
  </si>
  <si>
    <t>PRIMEIRA LINHA CONFECCOES E COMERCIO DE</t>
  </si>
  <si>
    <t>10.20</t>
  </si>
  <si>
    <t>WILSOM DE ANDRADE</t>
  </si>
  <si>
    <t>cia_moda@hotmail.com</t>
  </si>
  <si>
    <t>APOLONIO JOAO DE BARROS ME</t>
  </si>
  <si>
    <t>SABBADO D'ANGELO</t>
  </si>
  <si>
    <t>9.57</t>
  </si>
  <si>
    <t>APOLONIO JOAO DE BARROS</t>
  </si>
  <si>
    <t>apjbarros@hotmail.com</t>
  </si>
  <si>
    <t>YAEKO KOBATA FUJIE ME</t>
  </si>
  <si>
    <t>VALTER ARQUIMEDES STEFANO FILHO</t>
  </si>
  <si>
    <t>valter13@globomail.com</t>
  </si>
  <si>
    <t>MEGA BLOCK CO E SER DE SEGURANÇA LTDA ME</t>
  </si>
  <si>
    <t>801.64</t>
  </si>
  <si>
    <t>MARCELO SCANO BANCHETI</t>
  </si>
  <si>
    <t>marcelo@megablock.com.br</t>
  </si>
  <si>
    <t>RODRIGO JOSE DA ROCHA ENTREGAS RAPID ME</t>
  </si>
  <si>
    <t>PROFESSOR BRITO MACHADO</t>
  </si>
  <si>
    <t>23.50</t>
  </si>
  <si>
    <t>RODRIGO JOSE DA ROCHA</t>
  </si>
  <si>
    <t>LUIZ CARLOS DE FREITAS PULINO</t>
  </si>
  <si>
    <t>4.57</t>
  </si>
  <si>
    <t>ELZIAN CABELEIREIRAS LTDA ME</t>
  </si>
  <si>
    <t>R SABBADO D'ÂNGELO</t>
  </si>
  <si>
    <t>2.25</t>
  </si>
  <si>
    <t>MARIA ELZA SANTANA</t>
  </si>
  <si>
    <t>viviansantana2009@bol.com.br</t>
  </si>
  <si>
    <t>TURRIT INDIVIDUALIZADORA E ADM DE AGUA</t>
  </si>
  <si>
    <t>128.30</t>
  </si>
  <si>
    <t>JOSSUAN DALTRO OLIVEIRA</t>
  </si>
  <si>
    <t>jossuan@turrit.com</t>
  </si>
  <si>
    <t>JC ROFER CONSTRUTORA LTDA ME</t>
  </si>
  <si>
    <t>PAULO LOPES LEAO</t>
  </si>
  <si>
    <t>177.90</t>
  </si>
  <si>
    <t>SHEYLA HALCSICK DE OLIEVIRA</t>
  </si>
  <si>
    <t>SHEYLA.HALCSICK@CONSTRUTORAROFER.COM.BR</t>
  </si>
  <si>
    <t>PEDRO LUIZ FULINI TRANSPORTES - ME</t>
  </si>
  <si>
    <t>DOUTOR RODRIGO PEREIRA BARRETO</t>
  </si>
  <si>
    <t>21.88</t>
  </si>
  <si>
    <t>ALEX LUIZ FULINI</t>
  </si>
  <si>
    <t>ALEFULINI@IG.COM.BR</t>
  </si>
  <si>
    <t>EXATA NCM TOPOGRAFIA LTDA</t>
  </si>
  <si>
    <t>ULISSES CRUZ</t>
  </si>
  <si>
    <t>66.76</t>
  </si>
  <si>
    <t>LUIS CARLOS MEDEIRO</t>
  </si>
  <si>
    <t>luis@exatop.com.br</t>
  </si>
  <si>
    <t>CONSTRUTORA AMETISTA LTDA</t>
  </si>
  <si>
    <t>RUA VILELA</t>
  </si>
  <si>
    <t>1.24</t>
  </si>
  <si>
    <t>JOAO HELENO SACRAMENTO LEAL</t>
  </si>
  <si>
    <t>lenny@construtoraametista.com</t>
  </si>
  <si>
    <t>MARIA JOSE DA SILVA VICENTE - EPP</t>
  </si>
  <si>
    <t>ANA GOMES DE ANDRADE</t>
  </si>
  <si>
    <t>1.04</t>
  </si>
  <si>
    <t>MARIA JOSE DA SILVA VICENTE</t>
  </si>
  <si>
    <t>thais.accacio@yahoo.com.br</t>
  </si>
  <si>
    <t>ATHILA OLIVEIRA MONTICELLI - ME</t>
  </si>
  <si>
    <t>BOTUPORA</t>
  </si>
  <si>
    <t>54.90</t>
  </si>
  <si>
    <t>DIANA DE LIMA PEREIRA</t>
  </si>
  <si>
    <t>aquario_comercioeservicos@hotmail.com</t>
  </si>
  <si>
    <t>RICHARD MOREIRA DA COSTA - ME</t>
  </si>
  <si>
    <t>LUIZ DE ALMEIDA FERNANDES</t>
  </si>
  <si>
    <t>6.90</t>
  </si>
  <si>
    <t>RICHARD MOREIRA DA COSTA</t>
  </si>
  <si>
    <t>milena_neiva@yahoo.com.br</t>
  </si>
  <si>
    <t>CESSI MODAS LTDA ME</t>
  </si>
  <si>
    <t>CAMPANELLA</t>
  </si>
  <si>
    <t>201.00</t>
  </si>
  <si>
    <t>ELIZABETH HARUMI MATSUMOTO</t>
  </si>
  <si>
    <t>bethharumi@yahoo.com.br</t>
  </si>
  <si>
    <t>COMERCIO DE RAÇÕES OKAMOTO LTDA</t>
  </si>
  <si>
    <t>20.73</t>
  </si>
  <si>
    <t>FERNANDA MONTEIRO NEVES</t>
  </si>
  <si>
    <t>MOXIACO ADMINISTRAÇÃO E EMPREENDIMENTOS</t>
  </si>
  <si>
    <t>RUA SORIANO DE SOUSA</t>
  </si>
  <si>
    <t>172.56</t>
  </si>
  <si>
    <t>RAMON RAFAEL LEMOS DE ALMEIDA</t>
  </si>
  <si>
    <t>compras@gabicap.com.br</t>
  </si>
  <si>
    <t>LINK COPIADORAS LTDA - ME</t>
  </si>
  <si>
    <t>DUDU</t>
  </si>
  <si>
    <t>16.98</t>
  </si>
  <si>
    <t>REGINA APARECIDA MOREIRA FERNANDES</t>
  </si>
  <si>
    <t>ADM@SCANPRINT.COM.BR</t>
  </si>
  <si>
    <t>INGAR IMOVEIS SS LTDA</t>
  </si>
  <si>
    <t>CAMPINAS DO PIAUI</t>
  </si>
  <si>
    <t>536.35</t>
  </si>
  <si>
    <t>KARINA DE MELO GRANJA</t>
  </si>
  <si>
    <t>kary.ka@ig.com.br</t>
  </si>
  <si>
    <t>COMERCIAL GOES LTDA EPP</t>
  </si>
  <si>
    <t>VICTORIO SANTIM</t>
  </si>
  <si>
    <t>21.16</t>
  </si>
  <si>
    <t>ARIOMAR ROBSON DA SILVA SOARES</t>
  </si>
  <si>
    <t>construtora2@hotmail.com</t>
  </si>
  <si>
    <t>ROXANNE PROJETUS DISPLAYS EVENTOS MOVEIS</t>
  </si>
  <si>
    <t>INA</t>
  </si>
  <si>
    <t>0.68</t>
  </si>
  <si>
    <t>ROBERIO DA SILVA SOARES</t>
  </si>
  <si>
    <t>roberio.soares.silva@terra.com.br</t>
  </si>
  <si>
    <t>ESCR DE CONT CENTRAL DE ITAQUERA LT ME</t>
  </si>
  <si>
    <t>13.90</t>
  </si>
  <si>
    <t>INGRID CAROLINA RODRIGUES DAVANZO</t>
  </si>
  <si>
    <t>eccirh@gmail.com</t>
  </si>
  <si>
    <t>JOSE PANTAROTTO FILHO CONDIMENTOS</t>
  </si>
  <si>
    <t>AV AFONSO DE SAMPAIO E SOUSA</t>
  </si>
  <si>
    <t>361.88</t>
  </si>
  <si>
    <t>ROSANA AFONSO M DA SILVA</t>
  </si>
  <si>
    <t>ED PORTES COMERCIO DE ESQUEDRIAS DE MADE</t>
  </si>
  <si>
    <t>18.45</t>
  </si>
  <si>
    <t>PETUNIA CAPRISTO</t>
  </si>
  <si>
    <t>petuniacapristo@terra.com.br</t>
  </si>
  <si>
    <t>IGREJA EVANGELICA DE ITAQUERA</t>
  </si>
  <si>
    <t>19.90</t>
  </si>
  <si>
    <t>MARCOS GLEDSON GOMES DA COSTA</t>
  </si>
  <si>
    <t>marcos.gledson@gmail.com</t>
  </si>
  <si>
    <t>DURVAL ESPORTES LTDA</t>
  </si>
  <si>
    <t>R FLORES DO PIAUI</t>
  </si>
  <si>
    <t>5063.97</t>
  </si>
  <si>
    <t>JOSÉ DURVAL PINHEIRO SILVA</t>
  </si>
  <si>
    <t>SCALA CORRETORA DE SEGUROS LTDA</t>
  </si>
  <si>
    <t>DR CARLOS CORDEIRO</t>
  </si>
  <si>
    <t>97.05</t>
  </si>
  <si>
    <t>CV C E SERVICOS DE AUTO PECAS LTDA ME</t>
  </si>
  <si>
    <t>11.44</t>
  </si>
  <si>
    <t>JOSE VIANA DE ALMEIDA</t>
  </si>
  <si>
    <t>CARBURACAOVIANA@HOTMAIL.COM</t>
  </si>
  <si>
    <t>MARIA JOSE DE LIMA GUTIERREZ</t>
  </si>
  <si>
    <t>FACIL - ASSES E FIN IMOBILIARIO LTDA ME</t>
  </si>
  <si>
    <t>148.61</t>
  </si>
  <si>
    <t>RICARDO DE SOUZA BERNAL</t>
  </si>
  <si>
    <t>leonice.santo@uol.com.br</t>
  </si>
  <si>
    <t>NONOSE CURSOS PROFISSIONALIZANTES LTDA M</t>
  </si>
  <si>
    <t>R AMERICO SALVADOR NOVELLI</t>
  </si>
  <si>
    <t>1456.19</t>
  </si>
  <si>
    <t>JOSE GERALDO SILVERIO</t>
  </si>
  <si>
    <t>LINKX COMPONENTES INDUSTRIAIS LTDA</t>
  </si>
  <si>
    <t>NARCISO ARAUJO</t>
  </si>
  <si>
    <t>46.00</t>
  </si>
  <si>
    <t>NATHALI AGUIAR BARBOSA</t>
  </si>
  <si>
    <t>NATHALY_52@HOTMAIL.COM</t>
  </si>
  <si>
    <t>SAULO ELIEL DOS SANTOS GAS ME</t>
  </si>
  <si>
    <t>614.08</t>
  </si>
  <si>
    <t>SAULOGAZ@HOTMAIL.COM</t>
  </si>
  <si>
    <t>CENTRO ODONTOLOGICO SADER LTDA - ME</t>
  </si>
  <si>
    <t>HEITOR</t>
  </si>
  <si>
    <t>2.69</t>
  </si>
  <si>
    <t>RODRIGO SILVA SADER</t>
  </si>
  <si>
    <t>RODRIGO@SADER.COM.BR</t>
  </si>
  <si>
    <t>AMF REPARACAO MANUTENCAO E MONTAGEM INDU</t>
  </si>
  <si>
    <t>HENRIQUE LINDENBERG</t>
  </si>
  <si>
    <t>47.41</t>
  </si>
  <si>
    <t>JOSINALDO GRACILIANO NECO</t>
  </si>
  <si>
    <t>JOSINALDO@AMF-INDUSTRIAL.COM.BR</t>
  </si>
  <si>
    <t>ACTIVITY LOCADORA DE VEÍCULOS LTDA</t>
  </si>
  <si>
    <t>R ALMIRANTE CALHEIROS</t>
  </si>
  <si>
    <t>MARCOS ANTONIO GOMES DE OLIVEIRA</t>
  </si>
  <si>
    <t>MARCA EDITORA E MULTIMIDIA LTDA - ME</t>
  </si>
  <si>
    <t>ANDRE VIDAL</t>
  </si>
  <si>
    <t>3.88</t>
  </si>
  <si>
    <t>OMAR LEITE FERNANDES</t>
  </si>
  <si>
    <t>omar@marcaeditora.com.br</t>
  </si>
  <si>
    <t>CRISTOVAO CIRILO DOS SANTOS EPP</t>
  </si>
  <si>
    <t>Rua Matiz Penna</t>
  </si>
  <si>
    <t>3382.88</t>
  </si>
  <si>
    <t>CRISTOVAO CIRILO DOS SANTOS</t>
  </si>
  <si>
    <t>MARCO ANTONIO DE ALMEIDA RAHY</t>
  </si>
  <si>
    <t>AVENIDA PARAGUASSU PAULISTA</t>
  </si>
  <si>
    <t>ARTUR ALVIN</t>
  </si>
  <si>
    <t>4.24</t>
  </si>
  <si>
    <t>BELLAMODA COM E REPRESENTAÇÕES LTDA EPP</t>
  </si>
  <si>
    <t>MONTE SERRAT</t>
  </si>
  <si>
    <t>122.90</t>
  </si>
  <si>
    <t>IZABEL CRISTINA DE OLIVEIRA</t>
  </si>
  <si>
    <t>bellamodaaviamentos@terra.com.br</t>
  </si>
  <si>
    <t>JL WATANABE E PROFISSIONALIZANTE LTDA ME</t>
  </si>
  <si>
    <t>JAQUELINE TIYOMI WATANABE</t>
  </si>
  <si>
    <t>ITAQUERA.SP@BRASILTREINA.COM.BR</t>
  </si>
  <si>
    <t>BIONDI - DOCES E SALGADOS LTDA - ME</t>
  </si>
  <si>
    <t>TANQUINHO</t>
  </si>
  <si>
    <t>206.63</t>
  </si>
  <si>
    <t>DEISE BIONDI</t>
  </si>
  <si>
    <t>FAAHST@GMAIL.COM</t>
  </si>
  <si>
    <t>MARCOS FERREIRA DE LIMA 03345111438</t>
  </si>
  <si>
    <t>25.70</t>
  </si>
  <si>
    <t>MARCOS FERREIRA DE LIMA</t>
  </si>
  <si>
    <t>GABRIELINFO@IG.COM.BR</t>
  </si>
  <si>
    <t>MENINA FLOR IND E COM DE CALÇADOS LT-ME</t>
  </si>
  <si>
    <t>RUA MARTINS PENA</t>
  </si>
  <si>
    <t>291.85</t>
  </si>
  <si>
    <t>WILSON DE OLIVEIRA</t>
  </si>
  <si>
    <t>WIL.OLIV@IG.COM.BR</t>
  </si>
  <si>
    <t>ARPE INDUSTRIA ELETRONICA LTDA</t>
  </si>
  <si>
    <t>VILELA</t>
  </si>
  <si>
    <t>64.70</t>
  </si>
  <si>
    <t>WELINGTON YAMADA</t>
  </si>
  <si>
    <t>yamada@arpe.com.br</t>
  </si>
  <si>
    <t>ELETRONICA SER VIDEO LTDA</t>
  </si>
  <si>
    <t>0.74</t>
  </si>
  <si>
    <t>BRUNO FRANCO DE OLIVEIRA</t>
  </si>
  <si>
    <t>contato.servideo@gmail.com</t>
  </si>
  <si>
    <t>VMNET TELECOMUNICACOES LTDA</t>
  </si>
  <si>
    <t>ITAPETI</t>
  </si>
  <si>
    <t>(TATUAPE) VILA GOMES CARDIM</t>
  </si>
  <si>
    <t>ADEMIR MOTA MENDES</t>
  </si>
  <si>
    <t>TRANS - FUTURE TRANSPORTES LTDA - ME</t>
  </si>
  <si>
    <t>RUA JACIRENDI</t>
  </si>
  <si>
    <t>91.33</t>
  </si>
  <si>
    <t>MANOEL DIAS DE SÁ</t>
  </si>
  <si>
    <t>baserenata@globo.com</t>
  </si>
  <si>
    <t>INSTITUTO DE EDUCACAO P SURDOS SELI LTDA</t>
  </si>
  <si>
    <t>RUA HENRIQUE SERTÓRIO</t>
  </si>
  <si>
    <t>22.20</t>
  </si>
  <si>
    <t>FERNANDO CANDIDO D SILVA AUTOELETRICO ME</t>
  </si>
  <si>
    <t>AV AZEVEDO</t>
  </si>
  <si>
    <t>30.90</t>
  </si>
  <si>
    <t>VALTER CANDIDO DA SILVA</t>
  </si>
  <si>
    <t>autoeltricofernando@gmail.com</t>
  </si>
  <si>
    <t>ROSIMEIRE GOMES FERRAZ SUGAHARA</t>
  </si>
  <si>
    <t>URUMAJO</t>
  </si>
  <si>
    <t>7.99</t>
  </si>
  <si>
    <t>MEIKO COSMETICOS LTDA ME</t>
  </si>
  <si>
    <t>resfogaca@hotmail.com</t>
  </si>
  <si>
    <t>SAM LUIZ BAR E RESTAURANTE LTDA - ME</t>
  </si>
  <si>
    <t>RUA FRANCISCO MARENGO</t>
  </si>
  <si>
    <t>109.50</t>
  </si>
  <si>
    <t>JOAO LUIZ FAVERO</t>
  </si>
  <si>
    <t>OREIDAFEIJOADA@UOL.COM.BR</t>
  </si>
  <si>
    <t>LAERCIO JOSE DE SOUZA HOSPEDAGEM ME</t>
  </si>
  <si>
    <t>RUA GONÇALVES CRESPO</t>
  </si>
  <si>
    <t>4.40</t>
  </si>
  <si>
    <t>l.js@uol.com.br</t>
  </si>
  <si>
    <t>ABONE R DE VE D DE AUTOPEÇAS LTDA EPP</t>
  </si>
  <si>
    <t>34.50</t>
  </si>
  <si>
    <t>LUCIANA MARA DA ROCHA</t>
  </si>
  <si>
    <t>luciana@habone.com.br</t>
  </si>
  <si>
    <t>COMERCIAL DE VIDROS MORENO LTDA ME</t>
  </si>
  <si>
    <t>170.23</t>
  </si>
  <si>
    <t>MARIO DOS ANJOS MORENO NETO</t>
  </si>
  <si>
    <t>CVM.COMERCIODEVIDROS@YAHOO.COM.BR</t>
  </si>
  <si>
    <t>KLAUS COLOR IND E COM LTDA-ME</t>
  </si>
  <si>
    <t>EDMILSON DA SILVA SOUZA COM ROUPAS ME</t>
  </si>
  <si>
    <t>0.59</t>
  </si>
  <si>
    <t>EDMILSON DA SILVA SOUZA</t>
  </si>
  <si>
    <t>edmilsondireito@yahoo.com.br</t>
  </si>
  <si>
    <t>CONSTRUHOUSE EMPREEITEIRA DE MAO DE OBRA</t>
  </si>
  <si>
    <t>MARTIM PESCADOR</t>
  </si>
  <si>
    <t>14.73</t>
  </si>
  <si>
    <t>FABIO MTSUO TAKEDA</t>
  </si>
  <si>
    <t>empreiteiraconstruhouse@hotmail.com</t>
  </si>
  <si>
    <t>DRUG MED COMERCIO MATERIAIS MEDICOS E HO</t>
  </si>
  <si>
    <t>IVAI</t>
  </si>
  <si>
    <t>13.70</t>
  </si>
  <si>
    <t>ALMIR ANTONIO COUTO</t>
  </si>
  <si>
    <t>almir.couto@uol.com.br</t>
  </si>
  <si>
    <t>JOSE LUSTOSA FILHO ME</t>
  </si>
  <si>
    <t>R AFONSO PORTO</t>
  </si>
  <si>
    <t>ARTUR ALVIM</t>
  </si>
  <si>
    <t>JOSE LUSTOSA FILHO</t>
  </si>
  <si>
    <t>JOSE PAULO LIMA BAR ME</t>
  </si>
  <si>
    <t>R BENEDITO LEAL</t>
  </si>
  <si>
    <t>JOSE PAULO LIMA</t>
  </si>
  <si>
    <t>CAHS COMERCIO E REPRESENTACAO LTDA ME</t>
  </si>
  <si>
    <t>APUCARANA</t>
  </si>
  <si>
    <t>21.60</t>
  </si>
  <si>
    <t>CARLOS ALBERTO HERCULANO DOS SANTOS</t>
  </si>
  <si>
    <t>chspet@uol.com.br</t>
  </si>
  <si>
    <t>CALIFA COPIAS LTDA - ME</t>
  </si>
  <si>
    <t>CESARIO GALERO</t>
  </si>
  <si>
    <t>346.11</t>
  </si>
  <si>
    <t>ADILSON BLANCO</t>
  </si>
  <si>
    <t>ADILSON1295@TERRA.COM.BR</t>
  </si>
  <si>
    <t>INVITI LIBRO SOLUÇÕES LTDA ME</t>
  </si>
  <si>
    <t>PROFESSOR PEDREIRA DE FREITAS</t>
  </si>
  <si>
    <t>EDNEY CARPINTEIRO</t>
  </si>
  <si>
    <t>EDNEY@IBRO.COM.BR</t>
  </si>
  <si>
    <t>RT DISTNACDE PAPEIS E SUPLTDA</t>
  </si>
  <si>
    <t>DUARTE DE CARVALHO</t>
  </si>
  <si>
    <t>YANDRA STEPHANNE MARQUES DE OLIVEIRA</t>
  </si>
  <si>
    <t>mariana@nacionaldepapeis.com.br</t>
  </si>
  <si>
    <t>DANIELLE S R D E EVENTOS ME</t>
  </si>
  <si>
    <t>3.18</t>
  </si>
  <si>
    <t>PAULO F RODRIGUES</t>
  </si>
  <si>
    <t>contato@buffeteliana.com.br</t>
  </si>
  <si>
    <t>ORAL LIFE COML ADM ODONTOLOGICO</t>
  </si>
  <si>
    <t>AVENIDA CELSO GARCIA</t>
  </si>
  <si>
    <t>PAULO MATSUDA</t>
  </si>
  <si>
    <t>matsudap06@hotmail.com</t>
  </si>
  <si>
    <t>CRISSOFI PLASTICOS E TECIDOS LTDA - ME</t>
  </si>
  <si>
    <t>ACOTIPA</t>
  </si>
  <si>
    <t>76.75</t>
  </si>
  <si>
    <t>MARCELO PEREIRA TOMAZ</t>
  </si>
  <si>
    <t>crissofi@live.com</t>
  </si>
  <si>
    <t>CITY LOGISTIC INTERNATIONAL ASS EM COM</t>
  </si>
  <si>
    <t>FLORES DO PIAUI</t>
  </si>
  <si>
    <t>80.90</t>
  </si>
  <si>
    <t>RENATO SILVA DOS SANTOS</t>
  </si>
  <si>
    <t>rsilver@citycomputer.com.br</t>
  </si>
  <si>
    <t>LUCY LUCK EVENTOS LTDA</t>
  </si>
  <si>
    <t>199.80</t>
  </si>
  <si>
    <t>JOAO ANTONIO DALMINA</t>
  </si>
  <si>
    <t>joaodalmina@gmail.com</t>
  </si>
  <si>
    <t>NET EMBALAGENS DE PAPELAO LTDA ME</t>
  </si>
  <si>
    <t>10.43</t>
  </si>
  <si>
    <t>LEANDRO MACHADO DA SILVA</t>
  </si>
  <si>
    <t>leandro@netembalagens.com.br</t>
  </si>
  <si>
    <t>MARIA APARECIDA CAMARGO PUBLICIDADE ME</t>
  </si>
  <si>
    <t>CORONEL CARLOS OLIVA</t>
  </si>
  <si>
    <t>0.60</t>
  </si>
  <si>
    <t>MARIA APARECIDA CAMARGO</t>
  </si>
  <si>
    <t>cida@objetivapromocoes.com.br</t>
  </si>
  <si>
    <t>SANNRE INST DE ORTOP FACIAL E IMP LTDA</t>
  </si>
  <si>
    <t>FRANCISCO MARENGO</t>
  </si>
  <si>
    <t>2.84</t>
  </si>
  <si>
    <t>RENATO KUSZLEWICZ</t>
  </si>
  <si>
    <t>BARBIERI-AUTO PECAS LTDA</t>
  </si>
  <si>
    <t>VARGEM GRANDE</t>
  </si>
  <si>
    <t>379.50</t>
  </si>
  <si>
    <t>PATRICIA SELES GOMES</t>
  </si>
  <si>
    <t>marianesantosfalcao@hotmail.com</t>
  </si>
  <si>
    <t>MARILDA SANTIR BOER</t>
  </si>
  <si>
    <t>R TIJUCO PRETO</t>
  </si>
  <si>
    <t>1.99</t>
  </si>
  <si>
    <t>MARCI ANNE DE LIMA</t>
  </si>
  <si>
    <t>ronaldo.boer@gmail.com</t>
  </si>
  <si>
    <t>CENTRO DE FORMAÇÃO DE CONDUTORES ADJETIV</t>
  </si>
  <si>
    <t>TUIUTI</t>
  </si>
  <si>
    <t>14.80</t>
  </si>
  <si>
    <t>LOTEM INDCOM E RECUP DE MOLD</t>
  </si>
  <si>
    <t>MARCIA REGINA ALVES DA SILVA</t>
  </si>
  <si>
    <t>VIA SAO PAULO COMDE VEICULOS E PEÇAS LT</t>
  </si>
  <si>
    <t>JACIRENDI</t>
  </si>
  <si>
    <t>186.28</t>
  </si>
  <si>
    <t>DORALICE BINATTI</t>
  </si>
  <si>
    <t>CONTAS@VIASAOPAULO.COM.BR</t>
  </si>
  <si>
    <t>M TERRAM CORRETORA DE SEGUROS SS LTDA</t>
  </si>
  <si>
    <t>RUA ARTUR MENDONÇA</t>
  </si>
  <si>
    <t>9.91</t>
  </si>
  <si>
    <t>ANA PAULA VENDRAMINI ZAMBELLI</t>
  </si>
  <si>
    <t>ANAPAULA@ZAMBELLIADVOGADOS.COM.BR</t>
  </si>
  <si>
    <t>LL ACADEMIA DE GINASTICA LTDA</t>
  </si>
  <si>
    <t>59.54</t>
  </si>
  <si>
    <t>LILIAN CRISTINA BIFFE DOS SANTOS</t>
  </si>
  <si>
    <t>ac.corpoativo@terra.com.br</t>
  </si>
  <si>
    <t>SUELI DE SOUZA BRICOLA</t>
  </si>
  <si>
    <t>33.97</t>
  </si>
  <si>
    <t>REINALDO BRICOLA</t>
  </si>
  <si>
    <t>reinaldo.bricola@yahoo.com.br</t>
  </si>
  <si>
    <t>ECTOR EDSON COMUNICAÇÃO VISUAL LTDA ME</t>
  </si>
  <si>
    <t>ANTONIO DE BARROS</t>
  </si>
  <si>
    <t>10.47</t>
  </si>
  <si>
    <t>EDSON GARCIA</t>
  </si>
  <si>
    <t>EDSON@ECVISUAL.COM.BR</t>
  </si>
  <si>
    <t>IVANEIDE MARTINS DE SOUZA DO VALE ME</t>
  </si>
  <si>
    <t>1.38</t>
  </si>
  <si>
    <t>tim@tim.com.br</t>
  </si>
  <si>
    <t>ATACADISTA ALENCAR E SILVA LTDA - ME</t>
  </si>
  <si>
    <t>HENRIQUE SERTORIO</t>
  </si>
  <si>
    <t>710.90</t>
  </si>
  <si>
    <t>CARLOS NORMANDO ALENCAR</t>
  </si>
  <si>
    <t>atacadistaalencarsp@live.com</t>
  </si>
  <si>
    <t>THE POINT CONDOMINIUM CONSULTORIA LTDA</t>
  </si>
  <si>
    <t>SANTE COLOMBARA</t>
  </si>
  <si>
    <t>0.12</t>
  </si>
  <si>
    <t>LUFT BRASIL INDUSTRIA E COMERCIO LTDA</t>
  </si>
  <si>
    <t>RUA DOM ANDRES LAMAS</t>
  </si>
  <si>
    <t>0.72</t>
  </si>
  <si>
    <t>ERIKA NAIR DE PINA</t>
  </si>
  <si>
    <t>rh@luftbrasil.com.br</t>
  </si>
  <si>
    <t>EXATOP TOPOGRAFIA LTDA</t>
  </si>
  <si>
    <t>R ULISSES CRUZ</t>
  </si>
  <si>
    <t>2107.44</t>
  </si>
  <si>
    <t>REAL COMERCIO DE PLASTICOS E METAIS LTDA</t>
  </si>
  <si>
    <t>ENGENHEIRO BALEM</t>
  </si>
  <si>
    <t>7.98</t>
  </si>
  <si>
    <t>ABILIO PEREIRA</t>
  </si>
  <si>
    <t>realembalagens@yahoo.com.br</t>
  </si>
  <si>
    <t>RPCTECHS INFORMATICA LTDA - ME</t>
  </si>
  <si>
    <t>RUA BENEDITO LEAL</t>
  </si>
  <si>
    <t>3.60</t>
  </si>
  <si>
    <t>RAFAELA RODRIGUES CANO</t>
  </si>
  <si>
    <t>contato@rpctechs.com.br</t>
  </si>
  <si>
    <t>PAULO CARRION TERUEL</t>
  </si>
  <si>
    <t>ISIDRO TINOCO</t>
  </si>
  <si>
    <t>2.92</t>
  </si>
  <si>
    <t>MAC ARTHUR CAPACCIOLI - ME</t>
  </si>
  <si>
    <t>5.90</t>
  </si>
  <si>
    <t>MAC ARTHUR CAPACCIOLI</t>
  </si>
  <si>
    <t>MACARTHUR@BOL.COM.BR</t>
  </si>
  <si>
    <t>CAROLINA BUENO DA SILVA</t>
  </si>
  <si>
    <t>99.60</t>
  </si>
  <si>
    <t>ELETRICTEST SERVICOS LTDA</t>
  </si>
  <si>
    <t>CONTATO@MUNDICEL.COM.BR</t>
  </si>
  <si>
    <t>ALLEN-TEC COMERCIO E MANUTENÇÃO DE MAQU</t>
  </si>
  <si>
    <t>ESTRADA VELHA DA PENHA</t>
  </si>
  <si>
    <t>46.59</t>
  </si>
  <si>
    <t>JOSÉ LUIZ</t>
  </si>
  <si>
    <t>VALTER BERTO JUNIOR ME</t>
  </si>
  <si>
    <t>RUA TIJUCO PRETO</t>
  </si>
  <si>
    <t>8.33</t>
  </si>
  <si>
    <t>PATRICIA DA SILVA</t>
  </si>
  <si>
    <t>GLAUBER VINICIUS ROMANO DA SILVA</t>
  </si>
  <si>
    <t>RUA APUCARANA</t>
  </si>
  <si>
    <t>93.13</t>
  </si>
  <si>
    <t>glauber_locadoraomega@hotmail.com</t>
  </si>
  <si>
    <t>FOGAS C DE G L E V DE ANDAIMES LTDA ME</t>
  </si>
  <si>
    <t>13.80</t>
  </si>
  <si>
    <t>ANTONIO KANAAN</t>
  </si>
  <si>
    <t>A.KANAAN@IG.COM.BR</t>
  </si>
  <si>
    <t>SOCIEDADE DA REDONDA PIZZARIA LTDA ME</t>
  </si>
  <si>
    <t>218.94</t>
  </si>
  <si>
    <t>CRISTIANO RODRIGUES FARIA</t>
  </si>
  <si>
    <t>crfaria2005@hotmail.com</t>
  </si>
  <si>
    <t>GERCCOM G E R DE C COMERCIAS LTDA</t>
  </si>
  <si>
    <t>25.95</t>
  </si>
  <si>
    <t>LIDIA GOMES DA SILVA</t>
  </si>
  <si>
    <t>financ@gerccom.com.br</t>
  </si>
  <si>
    <t>LJ GARCIA REPRESENTAÇOES</t>
  </si>
  <si>
    <t>RUA PROFESSOR PEDREIRA DE FREITAS</t>
  </si>
  <si>
    <t>294.56</t>
  </si>
  <si>
    <t>LUANA JULIANA GARCIA</t>
  </si>
  <si>
    <t>luciana.bazzuco@outlook.com</t>
  </si>
  <si>
    <t>MANRE C E SOLUCOES EMPRESARIAIS LTDA ME</t>
  </si>
  <si>
    <t>EVARISTO VAZ DE ARRUDA</t>
  </si>
  <si>
    <t>25.80</t>
  </si>
  <si>
    <t>MARCIA REGINA TRINDADE ANDRADE</t>
  </si>
  <si>
    <t>rh@manrebrasil.com.br</t>
  </si>
  <si>
    <t>TRANSLEITE JZP LTDA - EPP</t>
  </si>
  <si>
    <t>15.71</t>
  </si>
  <si>
    <t>ELIETE SOLANGE ZARDO</t>
  </si>
  <si>
    <t>ZARDOSOLANGE@GMAIL.COM</t>
  </si>
  <si>
    <t>QUANTIDADE DE LINHAS</t>
  </si>
  <si>
    <t>VALOR DA CONTA</t>
  </si>
  <si>
    <t>Nome</t>
  </si>
  <si>
    <t>Contato</t>
  </si>
  <si>
    <t>Telefone</t>
  </si>
  <si>
    <t>Telefone 2</t>
  </si>
  <si>
    <t>Email</t>
  </si>
  <si>
    <t>Endereço</t>
  </si>
  <si>
    <t>Status do cliente</t>
  </si>
  <si>
    <t>Tipo de pessoa</t>
  </si>
  <si>
    <t>Observação</t>
  </si>
  <si>
    <t>Razão Social</t>
  </si>
  <si>
    <t>Telemarketing</t>
  </si>
  <si>
    <t>Prospecção</t>
  </si>
  <si>
    <t>Representante</t>
  </si>
  <si>
    <t>FERNANDO DORIA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</si>
</sst>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00000"/>
  </numFmts>
  <fonts count="3" x14ac:knownFonts="1">
    <font>
      <sz val="11"/>
      <color theme="1"/>
      <name val="Calibri"/>
      <family val="2"/>
      <scheme val="minor"/>
    </font>
    <font>
      <sz val="11"/>
      <color theme="0"/>
      <name val="Calibri"/>
      <family val="2"/>
      <scheme val="minor"/>
    </font>
    <font>
      <sz val="9"/>
      <color indexed="81"/>
      <name val="Segoe UI"/>
      <charset val="1"/>
    </font>
  </fonts>
  <fills count="5">
    <fill>
      <patternFill patternType="none"/>
    </fill>
    <fill>
      <patternFill patternType="gray125"/>
    </fill>
    <fill>
      <patternFill patternType="solid">
        <fgColor theme="3"/>
        <bgColor indexed="64"/>
      </patternFill>
    </fill>
    <fill>
      <patternFill patternType="solid">
        <fgColor indexed="1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164" fontId="0" fillId="0" borderId="1" xfId="0" applyNumberFormat="1" applyBorder="1"/>
    <xf numFmtId="0" fontId="0" fillId="0" borderId="1" xfId="0" applyBorder="1"/>
    <xf numFmtId="0" fontId="0" fillId="3" borderId="0" xfId="0" applyFill="1"/>
    <xf numFmtId="49" fontId="0" fillId="0" borderId="0" xfId="0" applyNumberFormat="1"/>
    <xf numFmtId="164" fontId="0" fillId="4" borderId="1" xfId="0" applyNumberFormat="1" applyFill="1" applyBorder="1"/>
    <xf numFmtId="0" fontId="0" fillId="4" borderId="1" xfId="0" applyFill="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25"/>
  <sheetViews>
    <sheetView tabSelected="1" topLeftCell="A13" workbookViewId="0">
      <selection activeCell="A21" sqref="A21:XFD23"/>
    </sheetView>
  </sheetViews>
  <sheetFormatPr defaultRowHeight="15" x14ac:dyDescent="0.25"/>
  <cols>
    <col min="1" max="1" width="15.140625" bestFit="1" customWidth="1"/>
    <col min="2" max="2" width="48.7109375" bestFit="1" customWidth="1"/>
    <col min="3" max="3" width="48.7109375" customWidth="1"/>
    <col min="4" max="4" width="35.42578125" bestFit="1" customWidth="1"/>
    <col min="5" max="5" width="5" bestFit="1" customWidth="1"/>
    <col min="6" max="6" width="30" bestFit="1" customWidth="1"/>
    <col min="7" max="7" width="11.140625" bestFit="1" customWidth="1"/>
    <col min="8" max="8" width="3.28515625" bestFit="1" customWidth="1"/>
    <col min="9" max="9" width="6" hidden="1" customWidth="1"/>
    <col min="10" max="11" width="7.85546875" hidden="1" customWidth="1"/>
    <col min="12" max="12" width="8" hidden="1" customWidth="1"/>
    <col min="13" max="13" width="41" bestFit="1" customWidth="1"/>
    <col min="14" max="15" width="12" bestFit="1" customWidth="1"/>
    <col min="16" max="16" width="46.28515625" bestFit="1" customWidth="1"/>
    <col min="17" max="17" width="50.7109375" bestFit="1" customWidth="1"/>
    <col min="18" max="18" width="15.85546875" bestFit="1" customWidth="1"/>
    <col min="19" max="19" width="14.28515625" bestFit="1" customWidth="1"/>
    <col min="20" max="20" width="17.42578125" bestFit="1" customWidth="1"/>
  </cols>
  <sheetData>
    <row r="1" spans="1:20" x14ac:dyDescent="0.25">
      <c r="A1" s="5" t="s">
        <v>0</v>
      </c>
      <c r="B1" s="4" t="s">
        <v>544</v>
      </c>
      <c r="C1" t="s">
        <v>553</v>
      </c>
      <c r="D1" t="s">
        <v>549</v>
      </c>
      <c r="E1" s="1" t="s">
        <v>1</v>
      </c>
      <c r="F1" t="s">
        <v>2</v>
      </c>
      <c r="G1" t="s">
        <v>3</v>
      </c>
      <c r="H1" t="s">
        <v>4</v>
      </c>
      <c r="I1" s="1"/>
      <c r="J1" s="1" t="s">
        <v>5</v>
      </c>
      <c r="K1" s="1"/>
      <c r="L1" s="1" t="s">
        <v>6</v>
      </c>
      <c r="M1" t="s">
        <v>545</v>
      </c>
      <c r="N1" t="s">
        <v>546</v>
      </c>
      <c r="O1" t="s">
        <v>547</v>
      </c>
      <c r="P1" t="s">
        <v>548</v>
      </c>
      <c r="Q1" t="s">
        <v>552</v>
      </c>
      <c r="R1" t="s">
        <v>550</v>
      </c>
      <c r="S1" t="s">
        <v>551</v>
      </c>
      <c r="T1" t="s">
        <v>556</v>
      </c>
    </row>
    <row r="2" spans="1:20" s="8" customFormat="1" x14ac:dyDescent="0.25">
      <c r="A2" s="6">
        <v>62369756000160</v>
      </c>
      <c r="B2" s="7" t="s">
        <v>7</v>
      </c>
      <c r="C2" s="7" t="s">
        <v>7</v>
      </c>
      <c r="D2" s="7" t="s">
        <v>8</v>
      </c>
      <c r="E2" s="7">
        <v>1086</v>
      </c>
      <c r="F2" s="7" t="s">
        <v>9</v>
      </c>
      <c r="G2" s="7" t="s">
        <v>10</v>
      </c>
      <c r="H2" s="7" t="s">
        <v>11</v>
      </c>
      <c r="I2" s="7" t="s">
        <v>542</v>
      </c>
      <c r="J2" s="7">
        <v>0</v>
      </c>
      <c r="K2" s="7" t="s">
        <v>543</v>
      </c>
      <c r="L2" s="7" t="s">
        <v>12</v>
      </c>
      <c r="M2" s="7" t="s">
        <v>13</v>
      </c>
      <c r="N2" s="7">
        <v>1122965799</v>
      </c>
      <c r="O2" s="7"/>
      <c r="P2" s="7"/>
      <c r="Q2" s="8" t="str">
        <f>CONCATENATE(I2 &amp;"  "&amp;J2 &amp;"  "&amp;K2 &amp;"  "&amp;L2)</f>
        <v>QUANTIDADE DE LINHAS  0  VALOR DA CONTA  6.53</v>
      </c>
      <c r="R2" s="8" t="s">
        <v>555</v>
      </c>
      <c r="S2" s="8" t="s">
        <v>554</v>
      </c>
      <c r="T2" s="8" t="s">
        <v>557</v>
      </c>
    </row>
    <row r="3" spans="1:20" s="8" customFormat="1" x14ac:dyDescent="0.25">
      <c r="A3" s="6">
        <v>8487400000185</v>
      </c>
      <c r="B3" s="7" t="s">
        <v>14</v>
      </c>
      <c r="C3" s="7" t="s">
        <v>14</v>
      </c>
      <c r="D3" s="7" t="s">
        <v>15</v>
      </c>
      <c r="E3" s="7">
        <v>2794</v>
      </c>
      <c r="F3" s="7" t="s">
        <v>16</v>
      </c>
      <c r="G3" s="7" t="s">
        <v>17</v>
      </c>
      <c r="H3" s="7" t="s">
        <v>11</v>
      </c>
      <c r="I3" s="7" t="s">
        <v>542</v>
      </c>
      <c r="J3" s="7">
        <v>3</v>
      </c>
      <c r="K3" s="7" t="s">
        <v>543</v>
      </c>
      <c r="L3" s="7" t="s">
        <v>18</v>
      </c>
      <c r="M3" s="7" t="s">
        <v>19</v>
      </c>
      <c r="N3" s="7">
        <v>11987800219</v>
      </c>
      <c r="O3" s="7">
        <v>1135300005</v>
      </c>
      <c r="P3" s="7" t="s">
        <v>20</v>
      </c>
      <c r="Q3" s="8" t="str">
        <f t="shared" ref="Q3:Q66" si="0">CONCATENATE(I3 &amp;"  "&amp;J3 &amp;"  "&amp;K3 &amp;"  "&amp;L3)</f>
        <v>QUANTIDADE DE LINHAS  3  VALOR DA CONTA  133.58</v>
      </c>
      <c r="R3" s="8" t="s">
        <v>555</v>
      </c>
      <c r="S3" s="8" t="s">
        <v>554</v>
      </c>
      <c r="T3" s="8" t="s">
        <v>557</v>
      </c>
    </row>
    <row r="4" spans="1:20" s="8" customFormat="1" x14ac:dyDescent="0.25">
      <c r="A4" s="6">
        <v>68477033000160</v>
      </c>
      <c r="B4" s="7" t="s">
        <v>21</v>
      </c>
      <c r="C4" s="7" t="s">
        <v>21</v>
      </c>
      <c r="D4" s="7" t="s">
        <v>22</v>
      </c>
      <c r="E4" s="7">
        <v>151</v>
      </c>
      <c r="F4" s="7" t="s">
        <v>16</v>
      </c>
      <c r="G4" s="7" t="s">
        <v>17</v>
      </c>
      <c r="H4" s="7" t="s">
        <v>11</v>
      </c>
      <c r="I4" s="7" t="s">
        <v>542</v>
      </c>
      <c r="J4" s="7">
        <v>1</v>
      </c>
      <c r="K4" s="7" t="s">
        <v>543</v>
      </c>
      <c r="L4" s="7" t="s">
        <v>23</v>
      </c>
      <c r="M4" s="7" t="s">
        <v>24</v>
      </c>
      <c r="N4" s="7">
        <v>1125286108</v>
      </c>
      <c r="O4" s="7">
        <v>1125323374</v>
      </c>
      <c r="P4" s="7" t="s">
        <v>25</v>
      </c>
      <c r="Q4" s="8" t="str">
        <f t="shared" si="0"/>
        <v>QUANTIDADE DE LINHAS  1  VALOR DA CONTA  103.93</v>
      </c>
      <c r="R4" s="8" t="s">
        <v>555</v>
      </c>
      <c r="S4" s="8" t="s">
        <v>554</v>
      </c>
      <c r="T4" s="8" t="s">
        <v>557</v>
      </c>
    </row>
    <row r="5" spans="1:20" s="8" customFormat="1" x14ac:dyDescent="0.25">
      <c r="A5" s="6">
        <v>52083326000980</v>
      </c>
      <c r="B5" s="7" t="s">
        <v>26</v>
      </c>
      <c r="C5" s="7" t="s">
        <v>26</v>
      </c>
      <c r="D5" s="7" t="s">
        <v>27</v>
      </c>
      <c r="E5" s="7">
        <v>1833</v>
      </c>
      <c r="F5" s="7" t="s">
        <v>9</v>
      </c>
      <c r="G5" s="7" t="s">
        <v>10</v>
      </c>
      <c r="H5" s="7" t="s">
        <v>11</v>
      </c>
      <c r="I5" s="7" t="s">
        <v>542</v>
      </c>
      <c r="J5" s="7">
        <v>8</v>
      </c>
      <c r="K5" s="7" t="s">
        <v>543</v>
      </c>
      <c r="L5" s="7" t="s">
        <v>28</v>
      </c>
      <c r="M5" s="7" t="s">
        <v>29</v>
      </c>
      <c r="N5" s="7">
        <v>1150705700</v>
      </c>
      <c r="O5" s="7">
        <v>1150705700</v>
      </c>
      <c r="P5" s="7" t="s">
        <v>30</v>
      </c>
      <c r="Q5" s="8" t="str">
        <f t="shared" si="0"/>
        <v>QUANTIDADE DE LINHAS  8  VALOR DA CONTA  2.38</v>
      </c>
      <c r="R5" s="8" t="s">
        <v>555</v>
      </c>
      <c r="S5" s="8" t="s">
        <v>554</v>
      </c>
      <c r="T5" s="8" t="s">
        <v>557</v>
      </c>
    </row>
    <row r="6" spans="1:20" s="8" customFormat="1" x14ac:dyDescent="0.25">
      <c r="A6" s="6">
        <v>6915299000190</v>
      </c>
      <c r="B6" s="7" t="s">
        <v>31</v>
      </c>
      <c r="C6" s="7" t="s">
        <v>31</v>
      </c>
      <c r="D6" s="7" t="s">
        <v>32</v>
      </c>
      <c r="E6" s="7">
        <v>3041</v>
      </c>
      <c r="F6" s="7" t="s">
        <v>16</v>
      </c>
      <c r="G6" s="7" t="s">
        <v>10</v>
      </c>
      <c r="H6" s="7" t="s">
        <v>11</v>
      </c>
      <c r="I6" s="7" t="s">
        <v>542</v>
      </c>
      <c r="J6" s="7">
        <v>1</v>
      </c>
      <c r="K6" s="7" t="s">
        <v>543</v>
      </c>
      <c r="L6" s="7" t="s">
        <v>33</v>
      </c>
      <c r="M6" s="7" t="s">
        <v>34</v>
      </c>
      <c r="N6" s="7">
        <v>1139722182</v>
      </c>
      <c r="O6" s="7">
        <v>1139722182</v>
      </c>
      <c r="P6" s="7" t="s">
        <v>35</v>
      </c>
      <c r="Q6" s="8" t="str">
        <f t="shared" si="0"/>
        <v>QUANTIDADE DE LINHAS  1  VALOR DA CONTA  51.18</v>
      </c>
      <c r="R6" s="8" t="s">
        <v>555</v>
      </c>
      <c r="S6" s="8" t="s">
        <v>554</v>
      </c>
      <c r="T6" s="8" t="s">
        <v>557</v>
      </c>
    </row>
    <row r="7" spans="1:20" s="8" customFormat="1" x14ac:dyDescent="0.25">
      <c r="A7" s="6">
        <v>8417445000183</v>
      </c>
      <c r="B7" s="7" t="s">
        <v>36</v>
      </c>
      <c r="C7" s="7" t="s">
        <v>36</v>
      </c>
      <c r="D7" s="7" t="s">
        <v>37</v>
      </c>
      <c r="E7" s="7">
        <v>132</v>
      </c>
      <c r="F7" s="7" t="s">
        <v>9</v>
      </c>
      <c r="G7" s="7" t="s">
        <v>10</v>
      </c>
      <c r="H7" s="7" t="s">
        <v>11</v>
      </c>
      <c r="I7" s="7" t="s">
        <v>542</v>
      </c>
      <c r="J7" s="7">
        <v>0</v>
      </c>
      <c r="K7" s="7" t="s">
        <v>543</v>
      </c>
      <c r="L7" s="7" t="s">
        <v>38</v>
      </c>
      <c r="M7" s="7" t="s">
        <v>39</v>
      </c>
      <c r="N7" s="7">
        <v>11961984639</v>
      </c>
      <c r="O7" s="7"/>
      <c r="P7" s="7"/>
      <c r="Q7" s="8" t="str">
        <f t="shared" si="0"/>
        <v>QUANTIDADE DE LINHAS  0  VALOR DA CONTA  218.46</v>
      </c>
      <c r="R7" s="8" t="s">
        <v>555</v>
      </c>
      <c r="S7" s="8" t="s">
        <v>554</v>
      </c>
      <c r="T7" s="8" t="s">
        <v>557</v>
      </c>
    </row>
    <row r="8" spans="1:20" s="8" customFormat="1" x14ac:dyDescent="0.25">
      <c r="A8" s="6">
        <v>52742574000139</v>
      </c>
      <c r="B8" s="7" t="s">
        <v>40</v>
      </c>
      <c r="C8" s="7" t="s">
        <v>40</v>
      </c>
      <c r="D8" s="7" t="s">
        <v>41</v>
      </c>
      <c r="E8" s="7">
        <v>382</v>
      </c>
      <c r="F8" s="7" t="s">
        <v>9</v>
      </c>
      <c r="G8" s="7" t="s">
        <v>10</v>
      </c>
      <c r="H8" s="7" t="s">
        <v>11</v>
      </c>
      <c r="I8" s="7" t="s">
        <v>542</v>
      </c>
      <c r="J8" s="7">
        <v>5</v>
      </c>
      <c r="K8" s="7" t="s">
        <v>543</v>
      </c>
      <c r="L8" s="7" t="s">
        <v>42</v>
      </c>
      <c r="M8" s="7" t="s">
        <v>43</v>
      </c>
      <c r="N8" s="7">
        <v>1133848022</v>
      </c>
      <c r="O8" s="7">
        <v>11998403133</v>
      </c>
      <c r="P8" s="7" t="s">
        <v>44</v>
      </c>
      <c r="Q8" s="8" t="str">
        <f t="shared" si="0"/>
        <v>QUANTIDADE DE LINHAS  5  VALOR DA CONTA  148.00</v>
      </c>
      <c r="R8" s="8" t="s">
        <v>555</v>
      </c>
      <c r="S8" s="8" t="s">
        <v>554</v>
      </c>
      <c r="T8" s="8" t="s">
        <v>557</v>
      </c>
    </row>
    <row r="9" spans="1:20" s="8" customFormat="1" x14ac:dyDescent="0.25">
      <c r="A9" s="6">
        <v>3928380000117</v>
      </c>
      <c r="B9" s="7" t="s">
        <v>45</v>
      </c>
      <c r="C9" s="7" t="s">
        <v>45</v>
      </c>
      <c r="D9" s="7" t="s">
        <v>46</v>
      </c>
      <c r="E9" s="7">
        <v>743</v>
      </c>
      <c r="F9" s="7" t="s">
        <v>9</v>
      </c>
      <c r="G9" s="7" t="s">
        <v>10</v>
      </c>
      <c r="H9" s="7" t="s">
        <v>11</v>
      </c>
      <c r="I9" s="7" t="s">
        <v>542</v>
      </c>
      <c r="J9" s="7">
        <v>22</v>
      </c>
      <c r="K9" s="7" t="s">
        <v>543</v>
      </c>
      <c r="L9" s="7" t="s">
        <v>47</v>
      </c>
      <c r="M9" s="7" t="s">
        <v>45</v>
      </c>
      <c r="N9" s="7">
        <v>1122932248</v>
      </c>
      <c r="O9" s="7">
        <v>11982142172</v>
      </c>
      <c r="P9" s="7" t="s">
        <v>48</v>
      </c>
      <c r="Q9" s="8" t="str">
        <f t="shared" si="0"/>
        <v>QUANTIDADE DE LINHAS  22  VALOR DA CONTA  38.00</v>
      </c>
      <c r="R9" s="8" t="s">
        <v>555</v>
      </c>
      <c r="S9" s="8" t="s">
        <v>554</v>
      </c>
      <c r="T9" s="8" t="s">
        <v>557</v>
      </c>
    </row>
    <row r="10" spans="1:20" s="8" customFormat="1" x14ac:dyDescent="0.25">
      <c r="A10" s="6">
        <v>54651419000132</v>
      </c>
      <c r="B10" s="7" t="s">
        <v>49</v>
      </c>
      <c r="C10" s="7" t="s">
        <v>49</v>
      </c>
      <c r="D10" s="7" t="s">
        <v>32</v>
      </c>
      <c r="E10" s="7">
        <v>2370</v>
      </c>
      <c r="F10" s="7" t="s">
        <v>9</v>
      </c>
      <c r="G10" s="7" t="s">
        <v>10</v>
      </c>
      <c r="H10" s="7" t="s">
        <v>11</v>
      </c>
      <c r="I10" s="7" t="s">
        <v>542</v>
      </c>
      <c r="J10" s="7">
        <v>0</v>
      </c>
      <c r="K10" s="7" t="s">
        <v>543</v>
      </c>
      <c r="L10" s="7" t="s">
        <v>50</v>
      </c>
      <c r="M10" s="7" t="s">
        <v>51</v>
      </c>
      <c r="N10" s="7">
        <v>1122721989</v>
      </c>
      <c r="O10" s="7"/>
      <c r="P10" s="7"/>
      <c r="Q10" s="8" t="str">
        <f t="shared" si="0"/>
        <v>QUANTIDADE DE LINHAS  0  VALOR DA CONTA  96.83</v>
      </c>
      <c r="R10" s="8" t="s">
        <v>555</v>
      </c>
      <c r="S10" s="8" t="s">
        <v>554</v>
      </c>
      <c r="T10" s="8" t="s">
        <v>557</v>
      </c>
    </row>
    <row r="11" spans="1:20" s="8" customFormat="1" x14ac:dyDescent="0.25">
      <c r="A11" s="6">
        <v>8175287000100</v>
      </c>
      <c r="B11" s="7" t="s">
        <v>52</v>
      </c>
      <c r="C11" s="7" t="s">
        <v>52</v>
      </c>
      <c r="D11" s="7" t="s">
        <v>53</v>
      </c>
      <c r="E11" s="7">
        <v>4025</v>
      </c>
      <c r="F11" s="7" t="s">
        <v>9</v>
      </c>
      <c r="G11" s="7" t="s">
        <v>10</v>
      </c>
      <c r="H11" s="7" t="s">
        <v>11</v>
      </c>
      <c r="I11" s="7" t="s">
        <v>542</v>
      </c>
      <c r="J11" s="7">
        <v>8</v>
      </c>
      <c r="K11" s="7" t="s">
        <v>543</v>
      </c>
      <c r="L11" s="7" t="s">
        <v>54</v>
      </c>
      <c r="M11" s="7" t="s">
        <v>55</v>
      </c>
      <c r="N11" s="7">
        <v>1120937588</v>
      </c>
      <c r="O11" s="7"/>
      <c r="P11" s="7" t="s">
        <v>56</v>
      </c>
      <c r="Q11" s="8" t="str">
        <f t="shared" si="0"/>
        <v>QUANTIDADE DE LINHAS  8  VALOR DA CONTA  30.97</v>
      </c>
      <c r="R11" s="8" t="s">
        <v>555</v>
      </c>
      <c r="S11" s="8" t="s">
        <v>554</v>
      </c>
      <c r="T11" s="8" t="s">
        <v>557</v>
      </c>
    </row>
    <row r="12" spans="1:20" s="8" customFormat="1" x14ac:dyDescent="0.25">
      <c r="A12" s="6">
        <v>14777168000112</v>
      </c>
      <c r="B12" s="7" t="s">
        <v>57</v>
      </c>
      <c r="C12" s="7" t="s">
        <v>57</v>
      </c>
      <c r="D12" s="7" t="s">
        <v>58</v>
      </c>
      <c r="E12" s="7">
        <v>370</v>
      </c>
      <c r="F12" s="7" t="s">
        <v>59</v>
      </c>
      <c r="G12" s="7" t="s">
        <v>10</v>
      </c>
      <c r="H12" s="7" t="s">
        <v>11</v>
      </c>
      <c r="I12" s="7" t="s">
        <v>542</v>
      </c>
      <c r="J12" s="7">
        <v>32</v>
      </c>
      <c r="K12" s="7" t="s">
        <v>543</v>
      </c>
      <c r="L12" s="7" t="s">
        <v>60</v>
      </c>
      <c r="M12" s="7" t="s">
        <v>61</v>
      </c>
      <c r="N12" s="7">
        <v>11983699545</v>
      </c>
      <c r="O12" s="7">
        <v>1133316813</v>
      </c>
      <c r="P12" s="7" t="s">
        <v>62</v>
      </c>
      <c r="Q12" s="8" t="str">
        <f t="shared" si="0"/>
        <v>QUANTIDADE DE LINHAS  32  VALOR DA CONTA  174.60</v>
      </c>
      <c r="R12" s="8" t="s">
        <v>555</v>
      </c>
      <c r="S12" s="8" t="s">
        <v>554</v>
      </c>
      <c r="T12" s="8" t="s">
        <v>557</v>
      </c>
    </row>
    <row r="13" spans="1:20" s="8" customFormat="1" x14ac:dyDescent="0.25">
      <c r="A13" s="6">
        <v>59733030000150</v>
      </c>
      <c r="B13" s="7" t="s">
        <v>63</v>
      </c>
      <c r="C13" s="7" t="s">
        <v>63</v>
      </c>
      <c r="D13" s="7" t="s">
        <v>64</v>
      </c>
      <c r="E13" s="7">
        <v>156</v>
      </c>
      <c r="F13" s="7" t="s">
        <v>9</v>
      </c>
      <c r="G13" s="7" t="s">
        <v>10</v>
      </c>
      <c r="H13" s="7" t="s">
        <v>11</v>
      </c>
      <c r="I13" s="7" t="s">
        <v>542</v>
      </c>
      <c r="J13" s="7">
        <v>0</v>
      </c>
      <c r="K13" s="7" t="s">
        <v>543</v>
      </c>
      <c r="L13" s="7" t="s">
        <v>65</v>
      </c>
      <c r="M13" s="7"/>
      <c r="N13" s="7"/>
      <c r="O13" s="7"/>
      <c r="P13" s="7"/>
      <c r="Q13" s="8" t="str">
        <f t="shared" si="0"/>
        <v>QUANTIDADE DE LINHAS  0  VALOR DA CONTA  0.00</v>
      </c>
      <c r="R13" s="8" t="s">
        <v>555</v>
      </c>
      <c r="S13" s="8" t="s">
        <v>554</v>
      </c>
      <c r="T13" s="8" t="s">
        <v>557</v>
      </c>
    </row>
    <row r="14" spans="1:20" s="8" customFormat="1" x14ac:dyDescent="0.25">
      <c r="A14" s="6">
        <v>61369039000175</v>
      </c>
      <c r="B14" s="7" t="s">
        <v>66</v>
      </c>
      <c r="C14" s="7" t="s">
        <v>66</v>
      </c>
      <c r="D14" s="7" t="s">
        <v>67</v>
      </c>
      <c r="E14" s="7">
        <v>35</v>
      </c>
      <c r="F14" s="7" t="s">
        <v>16</v>
      </c>
      <c r="G14" s="7" t="s">
        <v>17</v>
      </c>
      <c r="H14" s="7" t="s">
        <v>11</v>
      </c>
      <c r="I14" s="7" t="s">
        <v>542</v>
      </c>
      <c r="J14" s="7">
        <v>3</v>
      </c>
      <c r="K14" s="7" t="s">
        <v>543</v>
      </c>
      <c r="L14" s="7" t="s">
        <v>68</v>
      </c>
      <c r="M14" s="7" t="s">
        <v>69</v>
      </c>
      <c r="N14" s="7">
        <v>11982221293</v>
      </c>
      <c r="O14" s="7">
        <v>1122969272</v>
      </c>
      <c r="P14" s="7" t="s">
        <v>70</v>
      </c>
      <c r="Q14" s="8" t="str">
        <f t="shared" si="0"/>
        <v>QUANTIDADE DE LINHAS  3  VALOR DA CONTA  36.83</v>
      </c>
      <c r="R14" s="8" t="s">
        <v>555</v>
      </c>
      <c r="S14" s="8" t="s">
        <v>554</v>
      </c>
      <c r="T14" s="8" t="s">
        <v>557</v>
      </c>
    </row>
    <row r="15" spans="1:20" s="8" customFormat="1" x14ac:dyDescent="0.25">
      <c r="A15" s="6">
        <v>10961539000160</v>
      </c>
      <c r="B15" s="7" t="s">
        <v>71</v>
      </c>
      <c r="C15" s="7" t="s">
        <v>71</v>
      </c>
      <c r="D15" s="7" t="s">
        <v>72</v>
      </c>
      <c r="E15" s="7">
        <v>4440</v>
      </c>
      <c r="F15" s="7" t="s">
        <v>9</v>
      </c>
      <c r="G15" s="7" t="s">
        <v>10</v>
      </c>
      <c r="H15" s="7" t="s">
        <v>11</v>
      </c>
      <c r="I15" s="7" t="s">
        <v>542</v>
      </c>
      <c r="J15" s="7">
        <v>8</v>
      </c>
      <c r="K15" s="7" t="s">
        <v>543</v>
      </c>
      <c r="L15" s="7" t="s">
        <v>73</v>
      </c>
      <c r="M15" s="7" t="s">
        <v>74</v>
      </c>
      <c r="N15" s="7">
        <v>1127210202</v>
      </c>
      <c r="O15" s="7"/>
      <c r="P15" s="7"/>
      <c r="Q15" s="8" t="str">
        <f t="shared" si="0"/>
        <v>QUANTIDADE DE LINHAS  8  VALOR DA CONTA  96.60</v>
      </c>
      <c r="R15" s="8" t="s">
        <v>555</v>
      </c>
      <c r="S15" s="8" t="s">
        <v>554</v>
      </c>
      <c r="T15" s="8" t="s">
        <v>557</v>
      </c>
    </row>
    <row r="16" spans="1:20" s="8" customFormat="1" x14ac:dyDescent="0.25">
      <c r="A16" s="6">
        <v>12768500000157</v>
      </c>
      <c r="B16" s="7" t="s">
        <v>75</v>
      </c>
      <c r="C16" s="7" t="s">
        <v>75</v>
      </c>
      <c r="D16" s="7" t="s">
        <v>76</v>
      </c>
      <c r="E16" s="7">
        <v>200</v>
      </c>
      <c r="F16" s="7" t="s">
        <v>9</v>
      </c>
      <c r="G16" s="7" t="s">
        <v>10</v>
      </c>
      <c r="H16" s="7" t="s">
        <v>11</v>
      </c>
      <c r="I16" s="7" t="s">
        <v>542</v>
      </c>
      <c r="J16" s="7">
        <v>9</v>
      </c>
      <c r="K16" s="7" t="s">
        <v>543</v>
      </c>
      <c r="L16" s="7" t="s">
        <v>77</v>
      </c>
      <c r="M16" s="7" t="s">
        <v>78</v>
      </c>
      <c r="N16" s="7">
        <v>1139388607</v>
      </c>
      <c r="O16" s="7">
        <v>1139388607</v>
      </c>
      <c r="P16" s="7" t="s">
        <v>79</v>
      </c>
      <c r="Q16" s="8" t="str">
        <f t="shared" si="0"/>
        <v>QUANTIDADE DE LINHAS  9  VALOR DA CONTA  1.00</v>
      </c>
      <c r="R16" s="8" t="s">
        <v>555</v>
      </c>
      <c r="S16" s="8" t="s">
        <v>554</v>
      </c>
      <c r="T16" s="8" t="s">
        <v>557</v>
      </c>
    </row>
    <row r="17" spans="1:20" s="8" customFormat="1" x14ac:dyDescent="0.25">
      <c r="A17" s="6">
        <v>1743248000105</v>
      </c>
      <c r="B17" s="7" t="s">
        <v>80</v>
      </c>
      <c r="C17" s="7" t="s">
        <v>80</v>
      </c>
      <c r="D17" s="7" t="s">
        <v>81</v>
      </c>
      <c r="E17" s="7">
        <v>15</v>
      </c>
      <c r="F17" s="7" t="s">
        <v>9</v>
      </c>
      <c r="G17" s="7" t="s">
        <v>10</v>
      </c>
      <c r="H17" s="7" t="s">
        <v>11</v>
      </c>
      <c r="I17" s="7" t="s">
        <v>542</v>
      </c>
      <c r="J17" s="7">
        <v>43</v>
      </c>
      <c r="K17" s="7" t="s">
        <v>543</v>
      </c>
      <c r="L17" s="7" t="s">
        <v>65</v>
      </c>
      <c r="M17" s="7" t="s">
        <v>82</v>
      </c>
      <c r="N17" s="7">
        <v>11984691116</v>
      </c>
      <c r="O17" s="7">
        <v>1142180357</v>
      </c>
      <c r="P17" s="7" t="s">
        <v>83</v>
      </c>
      <c r="Q17" s="8" t="str">
        <f t="shared" si="0"/>
        <v>QUANTIDADE DE LINHAS  43  VALOR DA CONTA  0.00</v>
      </c>
      <c r="R17" s="8" t="s">
        <v>555</v>
      </c>
      <c r="S17" s="8" t="s">
        <v>554</v>
      </c>
      <c r="T17" s="8" t="s">
        <v>557</v>
      </c>
    </row>
    <row r="18" spans="1:20" s="8" customFormat="1" x14ac:dyDescent="0.25">
      <c r="A18" s="6">
        <v>1324141000122</v>
      </c>
      <c r="B18" s="7" t="s">
        <v>84</v>
      </c>
      <c r="C18" s="7" t="s">
        <v>84</v>
      </c>
      <c r="D18" s="7" t="s">
        <v>85</v>
      </c>
      <c r="E18" s="7">
        <v>676</v>
      </c>
      <c r="F18" s="7" t="s">
        <v>59</v>
      </c>
      <c r="G18" s="7" t="s">
        <v>10</v>
      </c>
      <c r="H18" s="7" t="s">
        <v>11</v>
      </c>
      <c r="I18" s="7" t="s">
        <v>542</v>
      </c>
      <c r="J18" s="7">
        <v>4</v>
      </c>
      <c r="K18" s="7" t="s">
        <v>543</v>
      </c>
      <c r="L18" s="7" t="s">
        <v>86</v>
      </c>
      <c r="M18" s="7" t="s">
        <v>87</v>
      </c>
      <c r="N18" s="7">
        <v>11962055302</v>
      </c>
      <c r="O18" s="7"/>
      <c r="P18" s="7" t="s">
        <v>88</v>
      </c>
      <c r="Q18" s="8" t="str">
        <f t="shared" si="0"/>
        <v>QUANTIDADE DE LINHAS  4  VALOR DA CONTA  74.13</v>
      </c>
      <c r="R18" s="8" t="s">
        <v>555</v>
      </c>
      <c r="S18" s="8" t="s">
        <v>554</v>
      </c>
      <c r="T18" s="8" t="s">
        <v>557</v>
      </c>
    </row>
    <row r="19" spans="1:20" s="8" customFormat="1" x14ac:dyDescent="0.25">
      <c r="A19" s="6">
        <v>1667415000186</v>
      </c>
      <c r="B19" s="7" t="s">
        <v>89</v>
      </c>
      <c r="C19" s="7" t="s">
        <v>89</v>
      </c>
      <c r="D19" s="7" t="s">
        <v>90</v>
      </c>
      <c r="E19" s="7">
        <v>302</v>
      </c>
      <c r="F19" s="7" t="s">
        <v>59</v>
      </c>
      <c r="G19" s="7" t="s">
        <v>10</v>
      </c>
      <c r="H19" s="7" t="s">
        <v>11</v>
      </c>
      <c r="I19" s="7" t="s">
        <v>542</v>
      </c>
      <c r="J19" s="7">
        <v>1</v>
      </c>
      <c r="K19" s="7" t="s">
        <v>543</v>
      </c>
      <c r="L19" s="7" t="s">
        <v>91</v>
      </c>
      <c r="M19" s="7" t="s">
        <v>92</v>
      </c>
      <c r="N19" s="7">
        <v>11962863848</v>
      </c>
      <c r="O19" s="7">
        <v>11985660300</v>
      </c>
      <c r="P19" s="7" t="s">
        <v>93</v>
      </c>
      <c r="Q19" s="8" t="str">
        <f t="shared" si="0"/>
        <v>QUANTIDADE DE LINHAS  1  VALOR DA CONTA  1350.66</v>
      </c>
      <c r="R19" s="8" t="s">
        <v>555</v>
      </c>
      <c r="S19" s="8" t="s">
        <v>554</v>
      </c>
      <c r="T19" s="8" t="s">
        <v>557</v>
      </c>
    </row>
    <row r="20" spans="1:20" s="8" customFormat="1" x14ac:dyDescent="0.25">
      <c r="A20" s="6">
        <v>5410802000193</v>
      </c>
      <c r="B20" s="7" t="s">
        <v>94</v>
      </c>
      <c r="C20" s="7" t="s">
        <v>94</v>
      </c>
      <c r="D20" s="7" t="s">
        <v>95</v>
      </c>
      <c r="E20" s="7">
        <v>65</v>
      </c>
      <c r="F20" s="7" t="s">
        <v>9</v>
      </c>
      <c r="G20" s="7" t="s">
        <v>10</v>
      </c>
      <c r="H20" s="7" t="s">
        <v>11</v>
      </c>
      <c r="I20" s="7" t="s">
        <v>542</v>
      </c>
      <c r="J20" s="7">
        <v>6</v>
      </c>
      <c r="K20" s="7" t="s">
        <v>543</v>
      </c>
      <c r="L20" s="7" t="s">
        <v>96</v>
      </c>
      <c r="M20" s="7" t="s">
        <v>97</v>
      </c>
      <c r="N20" s="7">
        <v>1122967744</v>
      </c>
      <c r="O20" s="7"/>
      <c r="P20" s="7" t="s">
        <v>98</v>
      </c>
      <c r="Q20" s="8" t="str">
        <f t="shared" si="0"/>
        <v>QUANTIDADE DE LINHAS  6  VALOR DA CONTA  26.40</v>
      </c>
      <c r="R20" s="8" t="s">
        <v>555</v>
      </c>
      <c r="S20" s="8" t="s">
        <v>554</v>
      </c>
      <c r="T20" s="8" t="s">
        <v>557</v>
      </c>
    </row>
    <row r="21" spans="1:20" s="8" customFormat="1" x14ac:dyDescent="0.25">
      <c r="A21" s="6">
        <v>2057371000135</v>
      </c>
      <c r="B21" s="7" t="s">
        <v>99</v>
      </c>
      <c r="C21" s="7" t="s">
        <v>99</v>
      </c>
      <c r="D21" s="7" t="s">
        <v>100</v>
      </c>
      <c r="E21" s="7">
        <v>100</v>
      </c>
      <c r="F21" s="7" t="s">
        <v>59</v>
      </c>
      <c r="G21" s="7" t="s">
        <v>10</v>
      </c>
      <c r="H21" s="7" t="s">
        <v>11</v>
      </c>
      <c r="I21" s="7" t="s">
        <v>542</v>
      </c>
      <c r="J21" s="7">
        <v>10</v>
      </c>
      <c r="K21" s="7" t="s">
        <v>543</v>
      </c>
      <c r="L21" s="7" t="s">
        <v>101</v>
      </c>
      <c r="M21" s="7" t="s">
        <v>102</v>
      </c>
      <c r="N21" s="7">
        <v>1127487665</v>
      </c>
      <c r="O21" s="7">
        <v>1127487665</v>
      </c>
      <c r="P21" s="7" t="s">
        <v>103</v>
      </c>
      <c r="Q21" s="8" t="str">
        <f t="shared" si="0"/>
        <v>QUANTIDADE DE LINHAS  10  VALOR DA CONTA  169.00</v>
      </c>
      <c r="R21" s="8" t="s">
        <v>555</v>
      </c>
      <c r="S21" s="8" t="s">
        <v>554</v>
      </c>
      <c r="T21" s="8" t="s">
        <v>557</v>
      </c>
    </row>
    <row r="22" spans="1:20" s="8" customFormat="1" x14ac:dyDescent="0.25">
      <c r="A22" s="6">
        <v>4023754000118</v>
      </c>
      <c r="B22" s="7" t="s">
        <v>104</v>
      </c>
      <c r="C22" s="7" t="s">
        <v>104</v>
      </c>
      <c r="D22" s="7" t="s">
        <v>105</v>
      </c>
      <c r="E22" s="7">
        <v>365</v>
      </c>
      <c r="F22" s="7" t="s">
        <v>59</v>
      </c>
      <c r="G22" s="7" t="s">
        <v>10</v>
      </c>
      <c r="H22" s="7" t="s">
        <v>11</v>
      </c>
      <c r="I22" s="7" t="s">
        <v>542</v>
      </c>
      <c r="J22" s="7">
        <v>3</v>
      </c>
      <c r="K22" s="7" t="s">
        <v>543</v>
      </c>
      <c r="L22" s="7" t="s">
        <v>106</v>
      </c>
      <c r="M22" s="7" t="s">
        <v>107</v>
      </c>
      <c r="N22" s="7">
        <v>1177409232</v>
      </c>
      <c r="O22" s="7">
        <v>1126011415</v>
      </c>
      <c r="P22" s="7" t="s">
        <v>108</v>
      </c>
      <c r="Q22" s="8" t="str">
        <f t="shared" si="0"/>
        <v>QUANTIDADE DE LINHAS  3  VALOR DA CONTA  222.29</v>
      </c>
      <c r="R22" s="8" t="s">
        <v>555</v>
      </c>
      <c r="S22" s="8" t="s">
        <v>554</v>
      </c>
      <c r="T22" s="8" t="s">
        <v>557</v>
      </c>
    </row>
    <row r="23" spans="1:20" s="8" customFormat="1" x14ac:dyDescent="0.25">
      <c r="A23" s="6">
        <v>7146737000166</v>
      </c>
      <c r="B23" s="7" t="s">
        <v>109</v>
      </c>
      <c r="C23" s="7" t="s">
        <v>109</v>
      </c>
      <c r="D23" s="7" t="s">
        <v>110</v>
      </c>
      <c r="E23" s="7">
        <v>8</v>
      </c>
      <c r="F23" s="7" t="s">
        <v>59</v>
      </c>
      <c r="G23" s="7" t="s">
        <v>10</v>
      </c>
      <c r="H23" s="7" t="s">
        <v>11</v>
      </c>
      <c r="I23" s="7" t="s">
        <v>542</v>
      </c>
      <c r="J23" s="7">
        <v>0</v>
      </c>
      <c r="K23" s="7" t="s">
        <v>543</v>
      </c>
      <c r="L23" s="7" t="s">
        <v>65</v>
      </c>
      <c r="M23" s="7" t="s">
        <v>111</v>
      </c>
      <c r="N23" s="7">
        <v>11962861984</v>
      </c>
      <c r="O23" s="7"/>
      <c r="P23" s="7"/>
      <c r="Q23" s="8" t="str">
        <f t="shared" si="0"/>
        <v>QUANTIDADE DE LINHAS  0  VALOR DA CONTA  0.00</v>
      </c>
      <c r="R23" s="8" t="s">
        <v>555</v>
      </c>
      <c r="S23" s="8" t="s">
        <v>554</v>
      </c>
      <c r="T23" s="8" t="s">
        <v>557</v>
      </c>
    </row>
    <row r="24" spans="1:20" x14ac:dyDescent="0.25">
      <c r="A24" s="2">
        <v>11262099000116</v>
      </c>
      <c r="B24" s="3" t="s">
        <v>112</v>
      </c>
      <c r="C24" s="3" t="s">
        <v>112</v>
      </c>
      <c r="D24" s="3" t="s">
        <v>100</v>
      </c>
      <c r="E24" s="3">
        <v>352</v>
      </c>
      <c r="F24" s="3" t="s">
        <v>59</v>
      </c>
      <c r="G24" s="3" t="s">
        <v>10</v>
      </c>
      <c r="H24" s="3" t="s">
        <v>11</v>
      </c>
      <c r="I24" s="3" t="s">
        <v>542</v>
      </c>
      <c r="J24" s="3">
        <v>3</v>
      </c>
      <c r="K24" s="3" t="s">
        <v>543</v>
      </c>
      <c r="L24" s="3" t="s">
        <v>113</v>
      </c>
      <c r="M24" s="3" t="s">
        <v>114</v>
      </c>
      <c r="N24" s="3">
        <v>1122545057</v>
      </c>
      <c r="O24" s="3"/>
      <c r="P24" s="3" t="s">
        <v>115</v>
      </c>
      <c r="Q24" t="str">
        <f t="shared" si="0"/>
        <v>QUANTIDADE DE LINHAS  3  VALOR DA CONTA  10.20</v>
      </c>
      <c r="R24" t="s">
        <v>555</v>
      </c>
      <c r="S24" t="s">
        <v>554</v>
      </c>
      <c r="T24" t="s">
        <v>557</v>
      </c>
    </row>
    <row r="25" spans="1:20" x14ac:dyDescent="0.25">
      <c r="A25" s="2">
        <v>11315146000142</v>
      </c>
      <c r="B25" s="3" t="s">
        <v>116</v>
      </c>
      <c r="C25" s="3" t="s">
        <v>116</v>
      </c>
      <c r="D25" s="3" t="s">
        <v>117</v>
      </c>
      <c r="E25" s="3">
        <v>1119</v>
      </c>
      <c r="F25" s="3" t="s">
        <v>59</v>
      </c>
      <c r="G25" s="3" t="s">
        <v>10</v>
      </c>
      <c r="H25" s="3" t="s">
        <v>11</v>
      </c>
      <c r="I25" s="3" t="s">
        <v>542</v>
      </c>
      <c r="J25" s="3">
        <v>1</v>
      </c>
      <c r="K25" s="3" t="s">
        <v>543</v>
      </c>
      <c r="L25" s="3" t="s">
        <v>118</v>
      </c>
      <c r="M25" s="3" t="s">
        <v>119</v>
      </c>
      <c r="N25" s="3">
        <v>1120719516</v>
      </c>
      <c r="O25" s="3">
        <v>11981736776</v>
      </c>
      <c r="P25" s="3" t="s">
        <v>120</v>
      </c>
      <c r="Q25" t="str">
        <f t="shared" si="0"/>
        <v>QUANTIDADE DE LINHAS  1  VALOR DA CONTA  9.57</v>
      </c>
      <c r="R25" t="s">
        <v>555</v>
      </c>
      <c r="S25" t="s">
        <v>554</v>
      </c>
      <c r="T25" t="s">
        <v>557</v>
      </c>
    </row>
    <row r="26" spans="1:20" x14ac:dyDescent="0.25">
      <c r="A26" s="2">
        <v>67024489000102</v>
      </c>
      <c r="B26" s="3" t="s">
        <v>121</v>
      </c>
      <c r="C26" s="3" t="s">
        <v>121</v>
      </c>
      <c r="D26" s="3" t="s">
        <v>100</v>
      </c>
      <c r="E26" s="3">
        <v>1126</v>
      </c>
      <c r="F26" s="3" t="s">
        <v>59</v>
      </c>
      <c r="G26" s="3" t="s">
        <v>10</v>
      </c>
      <c r="H26" s="3" t="s">
        <v>11</v>
      </c>
      <c r="I26" s="3" t="s">
        <v>542</v>
      </c>
      <c r="J26" s="3">
        <v>22</v>
      </c>
      <c r="K26" s="3" t="s">
        <v>543</v>
      </c>
      <c r="L26" s="3" t="s">
        <v>65</v>
      </c>
      <c r="M26" s="3" t="s">
        <v>122</v>
      </c>
      <c r="N26" s="3">
        <v>11987160271</v>
      </c>
      <c r="O26" s="3"/>
      <c r="P26" s="3" t="s">
        <v>123</v>
      </c>
      <c r="Q26" t="str">
        <f t="shared" si="0"/>
        <v>QUANTIDADE DE LINHAS  22  VALOR DA CONTA  0.00</v>
      </c>
      <c r="R26" t="s">
        <v>555</v>
      </c>
      <c r="S26" t="s">
        <v>554</v>
      </c>
      <c r="T26" t="s">
        <v>557</v>
      </c>
    </row>
    <row r="27" spans="1:20" x14ac:dyDescent="0.25">
      <c r="A27" s="2">
        <v>8460454000157</v>
      </c>
      <c r="B27" s="3" t="s">
        <v>124</v>
      </c>
      <c r="C27" s="3" t="s">
        <v>124</v>
      </c>
      <c r="D27" s="3" t="s">
        <v>100</v>
      </c>
      <c r="E27" s="3">
        <v>380</v>
      </c>
      <c r="F27" s="3" t="s">
        <v>59</v>
      </c>
      <c r="G27" s="3" t="s">
        <v>10</v>
      </c>
      <c r="H27" s="3" t="s">
        <v>11</v>
      </c>
      <c r="I27" s="3" t="s">
        <v>542</v>
      </c>
      <c r="J27" s="3">
        <v>60</v>
      </c>
      <c r="K27" s="3" t="s">
        <v>543</v>
      </c>
      <c r="L27" s="3" t="s">
        <v>125</v>
      </c>
      <c r="M27" s="3" t="s">
        <v>126</v>
      </c>
      <c r="N27" s="3">
        <v>1126814848</v>
      </c>
      <c r="O27" s="3"/>
      <c r="P27" s="3" t="s">
        <v>127</v>
      </c>
      <c r="Q27" t="str">
        <f t="shared" si="0"/>
        <v>QUANTIDADE DE LINHAS  60  VALOR DA CONTA  801.64</v>
      </c>
      <c r="R27" t="s">
        <v>555</v>
      </c>
      <c r="S27" t="s">
        <v>554</v>
      </c>
      <c r="T27" t="s">
        <v>557</v>
      </c>
    </row>
    <row r="28" spans="1:20" x14ac:dyDescent="0.25">
      <c r="A28" s="2">
        <v>10411496000140</v>
      </c>
      <c r="B28" s="3" t="s">
        <v>128</v>
      </c>
      <c r="C28" s="3" t="s">
        <v>128</v>
      </c>
      <c r="D28" s="3" t="s">
        <v>129</v>
      </c>
      <c r="E28" s="3">
        <v>183</v>
      </c>
      <c r="F28" s="3" t="s">
        <v>59</v>
      </c>
      <c r="G28" s="3" t="s">
        <v>10</v>
      </c>
      <c r="H28" s="3" t="s">
        <v>11</v>
      </c>
      <c r="I28" s="3" t="s">
        <v>542</v>
      </c>
      <c r="J28" s="3">
        <v>5</v>
      </c>
      <c r="K28" s="3" t="s">
        <v>543</v>
      </c>
      <c r="L28" s="3" t="s">
        <v>130</v>
      </c>
      <c r="M28" s="3" t="s">
        <v>131</v>
      </c>
      <c r="N28" s="3">
        <v>1120717194</v>
      </c>
      <c r="O28" s="3"/>
      <c r="P28" s="3"/>
      <c r="Q28" t="str">
        <f t="shared" si="0"/>
        <v>QUANTIDADE DE LINHAS  5  VALOR DA CONTA  23.50</v>
      </c>
      <c r="R28" t="s">
        <v>555</v>
      </c>
      <c r="S28" t="s">
        <v>554</v>
      </c>
      <c r="T28" t="s">
        <v>557</v>
      </c>
    </row>
    <row r="29" spans="1:20" x14ac:dyDescent="0.25">
      <c r="A29" s="2">
        <v>8702288000158</v>
      </c>
      <c r="B29" s="3" t="s">
        <v>132</v>
      </c>
      <c r="C29" s="3" t="s">
        <v>132</v>
      </c>
      <c r="D29" s="3" t="s">
        <v>32</v>
      </c>
      <c r="E29" s="3">
        <v>903</v>
      </c>
      <c r="F29" s="3" t="s">
        <v>9</v>
      </c>
      <c r="G29" s="3" t="s">
        <v>10</v>
      </c>
      <c r="H29" s="3" t="s">
        <v>11</v>
      </c>
      <c r="I29" s="3" t="s">
        <v>542</v>
      </c>
      <c r="J29" s="3">
        <v>0</v>
      </c>
      <c r="K29" s="3" t="s">
        <v>543</v>
      </c>
      <c r="L29" s="3" t="s">
        <v>133</v>
      </c>
      <c r="M29" s="3" t="s">
        <v>132</v>
      </c>
      <c r="N29" s="3">
        <v>1129415997</v>
      </c>
      <c r="O29" s="3"/>
      <c r="P29" s="3"/>
      <c r="Q29" t="str">
        <f t="shared" si="0"/>
        <v>QUANTIDADE DE LINHAS  0  VALOR DA CONTA  4.57</v>
      </c>
      <c r="R29" t="s">
        <v>555</v>
      </c>
      <c r="S29" t="s">
        <v>554</v>
      </c>
      <c r="T29" t="s">
        <v>557</v>
      </c>
    </row>
    <row r="30" spans="1:20" x14ac:dyDescent="0.25">
      <c r="A30" s="2">
        <v>10192954000105</v>
      </c>
      <c r="B30" s="3" t="s">
        <v>134</v>
      </c>
      <c r="C30" s="3" t="s">
        <v>134</v>
      </c>
      <c r="D30" s="3" t="s">
        <v>135</v>
      </c>
      <c r="E30" s="3">
        <v>1450</v>
      </c>
      <c r="F30" s="3" t="s">
        <v>59</v>
      </c>
      <c r="G30" s="3" t="s">
        <v>10</v>
      </c>
      <c r="H30" s="3" t="s">
        <v>11</v>
      </c>
      <c r="I30" s="3" t="s">
        <v>542</v>
      </c>
      <c r="J30" s="3">
        <v>6</v>
      </c>
      <c r="K30" s="3" t="s">
        <v>543</v>
      </c>
      <c r="L30" s="3" t="s">
        <v>136</v>
      </c>
      <c r="M30" s="3" t="s">
        <v>137</v>
      </c>
      <c r="N30" s="3">
        <v>1122054388</v>
      </c>
      <c r="O30" s="3">
        <v>11986931507</v>
      </c>
      <c r="P30" s="3" t="s">
        <v>138</v>
      </c>
      <c r="Q30" t="str">
        <f t="shared" si="0"/>
        <v>QUANTIDADE DE LINHAS  6  VALOR DA CONTA  2.25</v>
      </c>
      <c r="R30" t="s">
        <v>555</v>
      </c>
      <c r="S30" t="s">
        <v>554</v>
      </c>
      <c r="T30" t="s">
        <v>557</v>
      </c>
    </row>
    <row r="31" spans="1:20" x14ac:dyDescent="0.25">
      <c r="A31" s="2">
        <v>11071134000110</v>
      </c>
      <c r="B31" s="3" t="s">
        <v>139</v>
      </c>
      <c r="C31" s="3" t="s">
        <v>139</v>
      </c>
      <c r="D31" s="3" t="s">
        <v>117</v>
      </c>
      <c r="E31" s="3">
        <v>1518</v>
      </c>
      <c r="F31" s="3" t="s">
        <v>59</v>
      </c>
      <c r="G31" s="3" t="s">
        <v>10</v>
      </c>
      <c r="H31" s="3" t="s">
        <v>11</v>
      </c>
      <c r="I31" s="3" t="s">
        <v>542</v>
      </c>
      <c r="J31" s="3">
        <v>12</v>
      </c>
      <c r="K31" s="3" t="s">
        <v>543</v>
      </c>
      <c r="L31" s="3" t="s">
        <v>140</v>
      </c>
      <c r="M31" s="3" t="s">
        <v>141</v>
      </c>
      <c r="N31" s="3">
        <v>1120725188</v>
      </c>
      <c r="O31" s="3"/>
      <c r="P31" s="3" t="s">
        <v>142</v>
      </c>
      <c r="Q31" t="str">
        <f t="shared" si="0"/>
        <v>QUANTIDADE DE LINHAS  12  VALOR DA CONTA  128.30</v>
      </c>
      <c r="R31" t="s">
        <v>555</v>
      </c>
      <c r="S31" t="s">
        <v>554</v>
      </c>
      <c r="T31" t="s">
        <v>557</v>
      </c>
    </row>
    <row r="32" spans="1:20" x14ac:dyDescent="0.25">
      <c r="A32" s="2">
        <v>3378172000191</v>
      </c>
      <c r="B32" s="3" t="s">
        <v>143</v>
      </c>
      <c r="C32" s="3" t="s">
        <v>143</v>
      </c>
      <c r="D32" s="3" t="s">
        <v>144</v>
      </c>
      <c r="E32" s="3">
        <v>100</v>
      </c>
      <c r="F32" s="3" t="s">
        <v>59</v>
      </c>
      <c r="G32" s="3" t="s">
        <v>10</v>
      </c>
      <c r="H32" s="3" t="s">
        <v>11</v>
      </c>
      <c r="I32" s="3" t="s">
        <v>542</v>
      </c>
      <c r="J32" s="3">
        <v>14</v>
      </c>
      <c r="K32" s="3" t="s">
        <v>543</v>
      </c>
      <c r="L32" s="3" t="s">
        <v>145</v>
      </c>
      <c r="M32" s="3" t="s">
        <v>146</v>
      </c>
      <c r="N32" s="3">
        <v>1120741736</v>
      </c>
      <c r="O32" s="3"/>
      <c r="P32" s="3" t="s">
        <v>147</v>
      </c>
      <c r="Q32" t="str">
        <f t="shared" si="0"/>
        <v>QUANTIDADE DE LINHAS  14  VALOR DA CONTA  177.90</v>
      </c>
      <c r="R32" t="s">
        <v>555</v>
      </c>
      <c r="S32" t="s">
        <v>554</v>
      </c>
      <c r="T32" t="s">
        <v>557</v>
      </c>
    </row>
    <row r="33" spans="1:20" x14ac:dyDescent="0.25">
      <c r="A33" s="2">
        <v>5592582000166</v>
      </c>
      <c r="B33" s="3" t="s">
        <v>148</v>
      </c>
      <c r="C33" s="3" t="s">
        <v>148</v>
      </c>
      <c r="D33" s="3" t="s">
        <v>149</v>
      </c>
      <c r="E33" s="3">
        <v>735</v>
      </c>
      <c r="F33" s="3" t="s">
        <v>59</v>
      </c>
      <c r="G33" s="3" t="s">
        <v>10</v>
      </c>
      <c r="H33" s="3" t="s">
        <v>11</v>
      </c>
      <c r="I33" s="3" t="s">
        <v>542</v>
      </c>
      <c r="J33" s="3">
        <v>3</v>
      </c>
      <c r="K33" s="3" t="s">
        <v>543</v>
      </c>
      <c r="L33" s="3" t="s">
        <v>150</v>
      </c>
      <c r="M33" s="3" t="s">
        <v>151</v>
      </c>
      <c r="N33" s="3">
        <v>1129447678</v>
      </c>
      <c r="O33" s="3">
        <v>11983447161</v>
      </c>
      <c r="P33" s="3" t="s">
        <v>152</v>
      </c>
      <c r="Q33" t="str">
        <f t="shared" si="0"/>
        <v>QUANTIDADE DE LINHAS  3  VALOR DA CONTA  21.88</v>
      </c>
      <c r="R33" t="s">
        <v>555</v>
      </c>
      <c r="S33" t="s">
        <v>554</v>
      </c>
      <c r="T33" t="s">
        <v>557</v>
      </c>
    </row>
    <row r="34" spans="1:20" x14ac:dyDescent="0.25">
      <c r="A34" s="2">
        <v>7290197000190</v>
      </c>
      <c r="B34" s="3" t="s">
        <v>153</v>
      </c>
      <c r="C34" s="3" t="s">
        <v>153</v>
      </c>
      <c r="D34" s="3" t="s">
        <v>154</v>
      </c>
      <c r="E34" s="3">
        <v>204</v>
      </c>
      <c r="F34" s="3" t="s">
        <v>9</v>
      </c>
      <c r="G34" s="3" t="s">
        <v>10</v>
      </c>
      <c r="H34" s="3" t="s">
        <v>11</v>
      </c>
      <c r="I34" s="3" t="s">
        <v>542</v>
      </c>
      <c r="J34" s="3">
        <v>44</v>
      </c>
      <c r="K34" s="3" t="s">
        <v>543</v>
      </c>
      <c r="L34" s="3" t="s">
        <v>155</v>
      </c>
      <c r="M34" s="3" t="s">
        <v>156</v>
      </c>
      <c r="N34" s="3">
        <v>1128395542</v>
      </c>
      <c r="O34" s="3">
        <v>11993084270</v>
      </c>
      <c r="P34" s="3" t="s">
        <v>157</v>
      </c>
      <c r="Q34" t="str">
        <f t="shared" si="0"/>
        <v>QUANTIDADE DE LINHAS  44  VALOR DA CONTA  66.76</v>
      </c>
      <c r="R34" t="s">
        <v>555</v>
      </c>
      <c r="S34" t="s">
        <v>554</v>
      </c>
      <c r="T34" t="s">
        <v>557</v>
      </c>
    </row>
    <row r="35" spans="1:20" x14ac:dyDescent="0.25">
      <c r="A35" s="2">
        <v>8784409000158</v>
      </c>
      <c r="B35" s="3" t="s">
        <v>158</v>
      </c>
      <c r="C35" s="3" t="s">
        <v>158</v>
      </c>
      <c r="D35" s="3" t="s">
        <v>159</v>
      </c>
      <c r="E35" s="3">
        <v>204</v>
      </c>
      <c r="F35" s="3" t="s">
        <v>16</v>
      </c>
      <c r="G35" s="3" t="s">
        <v>17</v>
      </c>
      <c r="H35" s="3" t="s">
        <v>11</v>
      </c>
      <c r="I35" s="3" t="s">
        <v>542</v>
      </c>
      <c r="J35" s="3">
        <v>19</v>
      </c>
      <c r="K35" s="3" t="s">
        <v>543</v>
      </c>
      <c r="L35" s="3" t="s">
        <v>160</v>
      </c>
      <c r="M35" s="3" t="s">
        <v>161</v>
      </c>
      <c r="N35" s="3">
        <v>11987816414</v>
      </c>
      <c r="O35" s="3">
        <v>1141089773</v>
      </c>
      <c r="P35" s="3" t="s">
        <v>162</v>
      </c>
      <c r="Q35" t="str">
        <f t="shared" si="0"/>
        <v>QUANTIDADE DE LINHAS  19  VALOR DA CONTA  1.24</v>
      </c>
      <c r="R35" t="s">
        <v>555</v>
      </c>
      <c r="S35" t="s">
        <v>554</v>
      </c>
      <c r="T35" t="s">
        <v>557</v>
      </c>
    </row>
    <row r="36" spans="1:20" x14ac:dyDescent="0.25">
      <c r="A36" s="2">
        <v>14130857000130</v>
      </c>
      <c r="B36" s="3" t="s">
        <v>163</v>
      </c>
      <c r="C36" s="3" t="s">
        <v>163</v>
      </c>
      <c r="D36" s="3" t="s">
        <v>164</v>
      </c>
      <c r="E36" s="3">
        <v>98</v>
      </c>
      <c r="F36" s="3" t="s">
        <v>59</v>
      </c>
      <c r="G36" s="3" t="s">
        <v>10</v>
      </c>
      <c r="H36" s="3" t="s">
        <v>11</v>
      </c>
      <c r="I36" s="3" t="s">
        <v>542</v>
      </c>
      <c r="J36" s="3">
        <v>2</v>
      </c>
      <c r="K36" s="3" t="s">
        <v>543</v>
      </c>
      <c r="L36" s="3" t="s">
        <v>165</v>
      </c>
      <c r="M36" s="3" t="s">
        <v>166</v>
      </c>
      <c r="N36" s="3">
        <v>1120934310</v>
      </c>
      <c r="O36" s="3"/>
      <c r="P36" s="3" t="s">
        <v>167</v>
      </c>
      <c r="Q36" t="str">
        <f t="shared" si="0"/>
        <v>QUANTIDADE DE LINHAS  2  VALOR DA CONTA  1.04</v>
      </c>
      <c r="R36" t="s">
        <v>555</v>
      </c>
      <c r="S36" t="s">
        <v>554</v>
      </c>
      <c r="T36" t="s">
        <v>557</v>
      </c>
    </row>
    <row r="37" spans="1:20" x14ac:dyDescent="0.25">
      <c r="A37" s="2">
        <v>12268452000138</v>
      </c>
      <c r="B37" s="3" t="s">
        <v>168</v>
      </c>
      <c r="C37" s="3" t="s">
        <v>168</v>
      </c>
      <c r="D37" s="3" t="s">
        <v>169</v>
      </c>
      <c r="E37" s="3">
        <v>50</v>
      </c>
      <c r="F37" s="3" t="s">
        <v>59</v>
      </c>
      <c r="G37" s="3" t="s">
        <v>10</v>
      </c>
      <c r="H37" s="3" t="s">
        <v>11</v>
      </c>
      <c r="I37" s="3" t="s">
        <v>542</v>
      </c>
      <c r="J37" s="3">
        <v>3</v>
      </c>
      <c r="K37" s="3" t="s">
        <v>543</v>
      </c>
      <c r="L37" s="3" t="s">
        <v>170</v>
      </c>
      <c r="M37" s="3" t="s">
        <v>171</v>
      </c>
      <c r="N37" s="3">
        <v>1178065338</v>
      </c>
      <c r="O37" s="3">
        <v>1120791153</v>
      </c>
      <c r="P37" s="3" t="s">
        <v>172</v>
      </c>
      <c r="Q37" t="str">
        <f t="shared" si="0"/>
        <v>QUANTIDADE DE LINHAS  3  VALOR DA CONTA  54.90</v>
      </c>
      <c r="R37" t="s">
        <v>555</v>
      </c>
      <c r="S37" t="s">
        <v>554</v>
      </c>
      <c r="T37" t="s">
        <v>557</v>
      </c>
    </row>
    <row r="38" spans="1:20" x14ac:dyDescent="0.25">
      <c r="A38" s="2">
        <v>6935694000135</v>
      </c>
      <c r="B38" s="3" t="s">
        <v>173</v>
      </c>
      <c r="C38" s="3" t="s">
        <v>173</v>
      </c>
      <c r="D38" s="3" t="s">
        <v>174</v>
      </c>
      <c r="E38" s="3">
        <v>451</v>
      </c>
      <c r="F38" s="3" t="s">
        <v>59</v>
      </c>
      <c r="G38" s="3" t="s">
        <v>10</v>
      </c>
      <c r="H38" s="3" t="s">
        <v>11</v>
      </c>
      <c r="I38" s="3" t="s">
        <v>542</v>
      </c>
      <c r="J38" s="3">
        <v>2</v>
      </c>
      <c r="K38" s="3" t="s">
        <v>543</v>
      </c>
      <c r="L38" s="3" t="s">
        <v>175</v>
      </c>
      <c r="M38" s="3" t="s">
        <v>176</v>
      </c>
      <c r="N38" s="3">
        <v>1120169303</v>
      </c>
      <c r="O38" s="3">
        <v>80714918</v>
      </c>
      <c r="P38" s="3" t="s">
        <v>177</v>
      </c>
      <c r="Q38" t="str">
        <f t="shared" si="0"/>
        <v>QUANTIDADE DE LINHAS  2  VALOR DA CONTA  6.90</v>
      </c>
      <c r="R38" t="s">
        <v>555</v>
      </c>
      <c r="S38" t="s">
        <v>554</v>
      </c>
      <c r="T38" t="s">
        <v>557</v>
      </c>
    </row>
    <row r="39" spans="1:20" x14ac:dyDescent="0.25">
      <c r="A39" s="2">
        <v>49820046000146</v>
      </c>
      <c r="B39" s="3" t="s">
        <v>178</v>
      </c>
      <c r="C39" s="3" t="s">
        <v>178</v>
      </c>
      <c r="D39" s="3" t="s">
        <v>179</v>
      </c>
      <c r="E39" s="3">
        <v>2396</v>
      </c>
      <c r="F39" s="3" t="s">
        <v>59</v>
      </c>
      <c r="G39" s="3" t="s">
        <v>10</v>
      </c>
      <c r="H39" s="3" t="s">
        <v>11</v>
      </c>
      <c r="I39" s="3" t="s">
        <v>542</v>
      </c>
      <c r="J39" s="3">
        <v>8</v>
      </c>
      <c r="K39" s="3" t="s">
        <v>543</v>
      </c>
      <c r="L39" s="3" t="s">
        <v>180</v>
      </c>
      <c r="M39" s="3" t="s">
        <v>181</v>
      </c>
      <c r="N39" s="3">
        <v>1122057992</v>
      </c>
      <c r="O39" s="3">
        <v>1122057992</v>
      </c>
      <c r="P39" s="3" t="s">
        <v>182</v>
      </c>
      <c r="Q39" t="str">
        <f t="shared" si="0"/>
        <v>QUANTIDADE DE LINHAS  8  VALOR DA CONTA  201.00</v>
      </c>
      <c r="R39" t="s">
        <v>555</v>
      </c>
      <c r="S39" t="s">
        <v>554</v>
      </c>
      <c r="T39" t="s">
        <v>557</v>
      </c>
    </row>
    <row r="40" spans="1:20" x14ac:dyDescent="0.25">
      <c r="A40" s="2">
        <v>7275640000153</v>
      </c>
      <c r="B40" s="3" t="s">
        <v>183</v>
      </c>
      <c r="C40" s="3" t="s">
        <v>183</v>
      </c>
      <c r="D40" s="3" t="s">
        <v>179</v>
      </c>
      <c r="E40" s="3">
        <v>2139</v>
      </c>
      <c r="F40" s="3" t="s">
        <v>59</v>
      </c>
      <c r="G40" s="3" t="s">
        <v>10</v>
      </c>
      <c r="H40" s="3" t="s">
        <v>11</v>
      </c>
      <c r="I40" s="3" t="s">
        <v>542</v>
      </c>
      <c r="J40" s="3">
        <v>6</v>
      </c>
      <c r="K40" s="3" t="s">
        <v>543</v>
      </c>
      <c r="L40" s="3" t="s">
        <v>184</v>
      </c>
      <c r="M40" s="3" t="s">
        <v>185</v>
      </c>
      <c r="N40" s="3">
        <v>1122861123</v>
      </c>
      <c r="O40" s="3"/>
      <c r="P40" s="3"/>
      <c r="Q40" t="str">
        <f t="shared" si="0"/>
        <v>QUANTIDADE DE LINHAS  6  VALOR DA CONTA  20.73</v>
      </c>
      <c r="R40" t="s">
        <v>555</v>
      </c>
      <c r="S40" t="s">
        <v>554</v>
      </c>
      <c r="T40" t="s">
        <v>557</v>
      </c>
    </row>
    <row r="41" spans="1:20" x14ac:dyDescent="0.25">
      <c r="A41" s="2">
        <v>4675262000107</v>
      </c>
      <c r="B41" s="3" t="s">
        <v>186</v>
      </c>
      <c r="C41" s="3" t="s">
        <v>186</v>
      </c>
      <c r="D41" s="3" t="s">
        <v>187</v>
      </c>
      <c r="E41" s="3">
        <v>189</v>
      </c>
      <c r="F41" s="3" t="s">
        <v>9</v>
      </c>
      <c r="G41" s="3" t="s">
        <v>10</v>
      </c>
      <c r="H41" s="3" t="s">
        <v>11</v>
      </c>
      <c r="I41" s="3" t="s">
        <v>542</v>
      </c>
      <c r="J41" s="3">
        <v>10</v>
      </c>
      <c r="K41" s="3" t="s">
        <v>543</v>
      </c>
      <c r="L41" s="3" t="s">
        <v>188</v>
      </c>
      <c r="M41" s="3" t="s">
        <v>189</v>
      </c>
      <c r="N41" s="3">
        <v>3133532501</v>
      </c>
      <c r="O41" s="3"/>
      <c r="P41" s="3" t="s">
        <v>190</v>
      </c>
      <c r="Q41" t="str">
        <f t="shared" si="0"/>
        <v>QUANTIDADE DE LINHAS  10  VALOR DA CONTA  172.56</v>
      </c>
      <c r="R41" t="s">
        <v>555</v>
      </c>
      <c r="S41" t="s">
        <v>554</v>
      </c>
      <c r="T41" t="s">
        <v>557</v>
      </c>
    </row>
    <row r="42" spans="1:20" x14ac:dyDescent="0.25">
      <c r="A42" s="2">
        <v>5669465000153</v>
      </c>
      <c r="B42" s="3" t="s">
        <v>191</v>
      </c>
      <c r="C42" s="3" t="s">
        <v>191</v>
      </c>
      <c r="D42" s="3" t="s">
        <v>192</v>
      </c>
      <c r="E42" s="3">
        <v>145</v>
      </c>
      <c r="F42" s="3" t="s">
        <v>59</v>
      </c>
      <c r="G42" s="3" t="s">
        <v>10</v>
      </c>
      <c r="H42" s="3" t="s">
        <v>11</v>
      </c>
      <c r="I42" s="3" t="s">
        <v>542</v>
      </c>
      <c r="J42" s="3">
        <v>13</v>
      </c>
      <c r="K42" s="3" t="s">
        <v>543</v>
      </c>
      <c r="L42" s="3" t="s">
        <v>193</v>
      </c>
      <c r="M42" s="3" t="s">
        <v>194</v>
      </c>
      <c r="N42" s="3">
        <v>1120799702</v>
      </c>
      <c r="O42" s="3">
        <v>1120799702</v>
      </c>
      <c r="P42" s="3" t="s">
        <v>195</v>
      </c>
      <c r="Q42" t="str">
        <f t="shared" si="0"/>
        <v>QUANTIDADE DE LINHAS  13  VALOR DA CONTA  16.98</v>
      </c>
      <c r="R42" t="s">
        <v>555</v>
      </c>
      <c r="S42" t="s">
        <v>554</v>
      </c>
      <c r="T42" t="s">
        <v>557</v>
      </c>
    </row>
    <row r="43" spans="1:20" x14ac:dyDescent="0.25">
      <c r="A43" s="2">
        <v>740866000139</v>
      </c>
      <c r="B43" s="3" t="s">
        <v>196</v>
      </c>
      <c r="C43" s="3" t="s">
        <v>196</v>
      </c>
      <c r="D43" s="3" t="s">
        <v>197</v>
      </c>
      <c r="E43" s="3">
        <v>881</v>
      </c>
      <c r="F43" s="3" t="s">
        <v>59</v>
      </c>
      <c r="G43" s="3" t="s">
        <v>10</v>
      </c>
      <c r="H43" s="3" t="s">
        <v>11</v>
      </c>
      <c r="I43" s="3" t="s">
        <v>542</v>
      </c>
      <c r="J43" s="3">
        <v>8</v>
      </c>
      <c r="K43" s="3" t="s">
        <v>543</v>
      </c>
      <c r="L43" s="3" t="s">
        <v>198</v>
      </c>
      <c r="M43" s="3" t="s">
        <v>199</v>
      </c>
      <c r="N43" s="3">
        <v>1125228777</v>
      </c>
      <c r="O43" s="3">
        <v>1125212017</v>
      </c>
      <c r="P43" s="3" t="s">
        <v>200</v>
      </c>
      <c r="Q43" t="str">
        <f t="shared" si="0"/>
        <v>QUANTIDADE DE LINHAS  8  VALOR DA CONTA  536.35</v>
      </c>
      <c r="R43" t="s">
        <v>555</v>
      </c>
      <c r="S43" t="s">
        <v>554</v>
      </c>
      <c r="T43" t="s">
        <v>557</v>
      </c>
    </row>
    <row r="44" spans="1:20" x14ac:dyDescent="0.25">
      <c r="A44" s="2">
        <v>4118586000144</v>
      </c>
      <c r="B44" s="3" t="s">
        <v>201</v>
      </c>
      <c r="C44" s="3" t="s">
        <v>201</v>
      </c>
      <c r="D44" s="3" t="s">
        <v>202</v>
      </c>
      <c r="E44" s="3">
        <v>2259</v>
      </c>
      <c r="F44" s="3" t="s">
        <v>59</v>
      </c>
      <c r="G44" s="3" t="s">
        <v>10</v>
      </c>
      <c r="H44" s="3" t="s">
        <v>11</v>
      </c>
      <c r="I44" s="3" t="s">
        <v>542</v>
      </c>
      <c r="J44" s="3">
        <v>14</v>
      </c>
      <c r="K44" s="3" t="s">
        <v>543</v>
      </c>
      <c r="L44" s="3" t="s">
        <v>203</v>
      </c>
      <c r="M44" s="3" t="s">
        <v>204</v>
      </c>
      <c r="N44" s="3">
        <v>1125229291</v>
      </c>
      <c r="O44" s="3"/>
      <c r="P44" s="3" t="s">
        <v>205</v>
      </c>
      <c r="Q44" t="str">
        <f t="shared" si="0"/>
        <v>QUANTIDADE DE LINHAS  14  VALOR DA CONTA  21.16</v>
      </c>
      <c r="R44" t="s">
        <v>555</v>
      </c>
      <c r="S44" t="s">
        <v>554</v>
      </c>
      <c r="T44" t="s">
        <v>557</v>
      </c>
    </row>
    <row r="45" spans="1:20" x14ac:dyDescent="0.25">
      <c r="A45" s="2">
        <v>8552907000175</v>
      </c>
      <c r="B45" s="3" t="s">
        <v>206</v>
      </c>
      <c r="C45" s="3" t="s">
        <v>206</v>
      </c>
      <c r="D45" s="3" t="s">
        <v>207</v>
      </c>
      <c r="E45" s="3">
        <v>299</v>
      </c>
      <c r="F45" s="3" t="s">
        <v>59</v>
      </c>
      <c r="G45" s="3" t="s">
        <v>10</v>
      </c>
      <c r="H45" s="3" t="s">
        <v>11</v>
      </c>
      <c r="I45" s="3" t="s">
        <v>542</v>
      </c>
      <c r="J45" s="3">
        <v>11</v>
      </c>
      <c r="K45" s="3" t="s">
        <v>543</v>
      </c>
      <c r="L45" s="3" t="s">
        <v>208</v>
      </c>
      <c r="M45" s="3" t="s">
        <v>209</v>
      </c>
      <c r="N45" s="3">
        <v>1125229032</v>
      </c>
      <c r="O45" s="3">
        <v>1193652496</v>
      </c>
      <c r="P45" s="3" t="s">
        <v>210</v>
      </c>
      <c r="Q45" t="str">
        <f t="shared" si="0"/>
        <v>QUANTIDADE DE LINHAS  11  VALOR DA CONTA  0.68</v>
      </c>
      <c r="R45" t="s">
        <v>555</v>
      </c>
      <c r="S45" t="s">
        <v>554</v>
      </c>
      <c r="T45" t="s">
        <v>557</v>
      </c>
    </row>
    <row r="46" spans="1:20" x14ac:dyDescent="0.25">
      <c r="A46" s="2">
        <v>43796515000152</v>
      </c>
      <c r="B46" s="3" t="s">
        <v>211</v>
      </c>
      <c r="C46" s="3" t="s">
        <v>211</v>
      </c>
      <c r="D46" s="3" t="s">
        <v>197</v>
      </c>
      <c r="E46" s="3">
        <v>883</v>
      </c>
      <c r="F46" s="3" t="s">
        <v>59</v>
      </c>
      <c r="G46" s="3" t="s">
        <v>10</v>
      </c>
      <c r="H46" s="3" t="s">
        <v>11</v>
      </c>
      <c r="I46" s="3" t="s">
        <v>542</v>
      </c>
      <c r="J46" s="3">
        <v>14</v>
      </c>
      <c r="K46" s="3" t="s">
        <v>543</v>
      </c>
      <c r="L46" s="3" t="s">
        <v>212</v>
      </c>
      <c r="M46" s="3" t="s">
        <v>213</v>
      </c>
      <c r="N46" s="3">
        <v>1125249183</v>
      </c>
      <c r="O46" s="3">
        <v>1125249137</v>
      </c>
      <c r="P46" s="3" t="s">
        <v>214</v>
      </c>
      <c r="Q46" t="str">
        <f t="shared" si="0"/>
        <v>QUANTIDADE DE LINHAS  14  VALOR DA CONTA  13.90</v>
      </c>
      <c r="R46" t="s">
        <v>555</v>
      </c>
      <c r="S46" t="s">
        <v>554</v>
      </c>
      <c r="T46" t="s">
        <v>557</v>
      </c>
    </row>
    <row r="47" spans="1:20" x14ac:dyDescent="0.25">
      <c r="A47" s="2">
        <v>8975118000147</v>
      </c>
      <c r="B47" s="3" t="s">
        <v>215</v>
      </c>
      <c r="C47" s="3" t="s">
        <v>215</v>
      </c>
      <c r="D47" s="3" t="s">
        <v>216</v>
      </c>
      <c r="E47" s="3">
        <v>2420</v>
      </c>
      <c r="F47" s="3" t="s">
        <v>59</v>
      </c>
      <c r="G47" s="3" t="s">
        <v>10</v>
      </c>
      <c r="H47" s="3" t="s">
        <v>11</v>
      </c>
      <c r="I47" s="3" t="s">
        <v>542</v>
      </c>
      <c r="J47" s="3">
        <v>5</v>
      </c>
      <c r="K47" s="3" t="s">
        <v>543</v>
      </c>
      <c r="L47" s="3" t="s">
        <v>217</v>
      </c>
      <c r="M47" s="3" t="s">
        <v>218</v>
      </c>
      <c r="N47" s="3">
        <v>1122170128</v>
      </c>
      <c r="O47" s="3"/>
      <c r="P47" s="3"/>
      <c r="Q47" t="str">
        <f t="shared" si="0"/>
        <v>QUANTIDADE DE LINHAS  5  VALOR DA CONTA  361.88</v>
      </c>
      <c r="R47" t="s">
        <v>555</v>
      </c>
      <c r="S47" t="s">
        <v>554</v>
      </c>
      <c r="T47" t="s">
        <v>557</v>
      </c>
    </row>
    <row r="48" spans="1:20" x14ac:dyDescent="0.25">
      <c r="A48" s="2">
        <v>749645000121</v>
      </c>
      <c r="B48" s="3" t="s">
        <v>219</v>
      </c>
      <c r="C48" s="3" t="s">
        <v>219</v>
      </c>
      <c r="D48" s="3" t="s">
        <v>100</v>
      </c>
      <c r="E48" s="3">
        <v>23</v>
      </c>
      <c r="F48" s="3" t="s">
        <v>59</v>
      </c>
      <c r="G48" s="3" t="s">
        <v>10</v>
      </c>
      <c r="H48" s="3" t="s">
        <v>11</v>
      </c>
      <c r="I48" s="3" t="s">
        <v>542</v>
      </c>
      <c r="J48" s="3">
        <v>15</v>
      </c>
      <c r="K48" s="3" t="s">
        <v>543</v>
      </c>
      <c r="L48" s="3" t="s">
        <v>220</v>
      </c>
      <c r="M48" s="3" t="s">
        <v>221</v>
      </c>
      <c r="N48" s="3">
        <v>1127483777</v>
      </c>
      <c r="O48" s="3">
        <v>11982620075</v>
      </c>
      <c r="P48" s="3" t="s">
        <v>222</v>
      </c>
      <c r="Q48" t="str">
        <f t="shared" si="0"/>
        <v>QUANTIDADE DE LINHAS  15  VALOR DA CONTA  18.45</v>
      </c>
      <c r="R48" t="s">
        <v>555</v>
      </c>
      <c r="S48" t="s">
        <v>554</v>
      </c>
      <c r="T48" t="s">
        <v>557</v>
      </c>
    </row>
    <row r="49" spans="1:20" x14ac:dyDescent="0.25">
      <c r="A49" s="2">
        <v>8545265000187</v>
      </c>
      <c r="B49" s="3" t="s">
        <v>223</v>
      </c>
      <c r="C49" s="3" t="s">
        <v>223</v>
      </c>
      <c r="D49" s="3" t="s">
        <v>117</v>
      </c>
      <c r="E49" s="3">
        <v>1871</v>
      </c>
      <c r="F49" s="3" t="s">
        <v>59</v>
      </c>
      <c r="G49" s="3" t="s">
        <v>10</v>
      </c>
      <c r="H49" s="3" t="s">
        <v>11</v>
      </c>
      <c r="I49" s="3" t="s">
        <v>542</v>
      </c>
      <c r="J49" s="3">
        <v>16</v>
      </c>
      <c r="K49" s="3" t="s">
        <v>543</v>
      </c>
      <c r="L49" s="3" t="s">
        <v>224</v>
      </c>
      <c r="M49" s="3" t="s">
        <v>225</v>
      </c>
      <c r="N49" s="3">
        <v>1125274592</v>
      </c>
      <c r="O49" s="3">
        <v>11972659852</v>
      </c>
      <c r="P49" s="3" t="s">
        <v>226</v>
      </c>
      <c r="Q49" t="str">
        <f t="shared" si="0"/>
        <v>QUANTIDADE DE LINHAS  16  VALOR DA CONTA  19.90</v>
      </c>
      <c r="R49" t="s">
        <v>555</v>
      </c>
      <c r="S49" t="s">
        <v>554</v>
      </c>
      <c r="T49" t="s">
        <v>557</v>
      </c>
    </row>
    <row r="50" spans="1:20" x14ac:dyDescent="0.25">
      <c r="A50" s="2">
        <v>64685068000134</v>
      </c>
      <c r="B50" s="3" t="s">
        <v>227</v>
      </c>
      <c r="C50" s="3" t="s">
        <v>227</v>
      </c>
      <c r="D50" s="3" t="s">
        <v>228</v>
      </c>
      <c r="E50" s="3">
        <v>27</v>
      </c>
      <c r="F50" s="3" t="s">
        <v>59</v>
      </c>
      <c r="G50" s="3" t="s">
        <v>10</v>
      </c>
      <c r="H50" s="3" t="s">
        <v>11</v>
      </c>
      <c r="I50" s="3" t="s">
        <v>542</v>
      </c>
      <c r="J50" s="3">
        <v>0</v>
      </c>
      <c r="K50" s="3" t="s">
        <v>543</v>
      </c>
      <c r="L50" s="3" t="s">
        <v>229</v>
      </c>
      <c r="M50" s="3" t="s">
        <v>230</v>
      </c>
      <c r="N50" s="3">
        <v>11962251866</v>
      </c>
      <c r="O50" s="3"/>
      <c r="P50" s="3"/>
      <c r="Q50" t="str">
        <f t="shared" si="0"/>
        <v>QUANTIDADE DE LINHAS  0  VALOR DA CONTA  5063.97</v>
      </c>
      <c r="R50" t="s">
        <v>555</v>
      </c>
      <c r="S50" t="s">
        <v>554</v>
      </c>
      <c r="T50" t="s">
        <v>557</v>
      </c>
    </row>
    <row r="51" spans="1:20" x14ac:dyDescent="0.25">
      <c r="A51" s="2">
        <v>58352022000109</v>
      </c>
      <c r="B51" s="3" t="s">
        <v>231</v>
      </c>
      <c r="C51" s="3" t="s">
        <v>231</v>
      </c>
      <c r="D51" s="3" t="s">
        <v>232</v>
      </c>
      <c r="E51" s="3">
        <v>14</v>
      </c>
      <c r="F51" s="3" t="s">
        <v>59</v>
      </c>
      <c r="G51" s="3" t="s">
        <v>10</v>
      </c>
      <c r="H51" s="3" t="s">
        <v>11</v>
      </c>
      <c r="I51" s="3" t="s">
        <v>542</v>
      </c>
      <c r="J51" s="3">
        <v>7</v>
      </c>
      <c r="K51" s="3" t="s">
        <v>543</v>
      </c>
      <c r="L51" s="3" t="s">
        <v>233</v>
      </c>
      <c r="M51" s="3"/>
      <c r="N51" s="3"/>
      <c r="O51" s="3"/>
      <c r="P51" s="3"/>
      <c r="Q51" t="str">
        <f t="shared" si="0"/>
        <v>QUANTIDADE DE LINHAS  7  VALOR DA CONTA  97.05</v>
      </c>
      <c r="R51" t="s">
        <v>555</v>
      </c>
      <c r="S51" t="s">
        <v>554</v>
      </c>
      <c r="T51" t="s">
        <v>557</v>
      </c>
    </row>
    <row r="52" spans="1:20" x14ac:dyDescent="0.25">
      <c r="A52" s="2">
        <v>61059812000105</v>
      </c>
      <c r="B52" s="3" t="s">
        <v>234</v>
      </c>
      <c r="C52" s="3" t="s">
        <v>234</v>
      </c>
      <c r="D52" s="3" t="s">
        <v>197</v>
      </c>
      <c r="E52" s="3">
        <v>11</v>
      </c>
      <c r="F52" s="3" t="s">
        <v>59</v>
      </c>
      <c r="G52" s="3" t="s">
        <v>10</v>
      </c>
      <c r="H52" s="3" t="s">
        <v>11</v>
      </c>
      <c r="I52" s="3" t="s">
        <v>542</v>
      </c>
      <c r="J52" s="3">
        <v>2</v>
      </c>
      <c r="K52" s="3" t="s">
        <v>543</v>
      </c>
      <c r="L52" s="3" t="s">
        <v>235</v>
      </c>
      <c r="M52" s="3" t="s">
        <v>236</v>
      </c>
      <c r="N52" s="3">
        <v>11984909744</v>
      </c>
      <c r="O52" s="3">
        <v>1120795837</v>
      </c>
      <c r="P52" s="3" t="s">
        <v>237</v>
      </c>
      <c r="Q52" t="str">
        <f t="shared" si="0"/>
        <v>QUANTIDADE DE LINHAS  2  VALOR DA CONTA  11.44</v>
      </c>
      <c r="R52" t="s">
        <v>555</v>
      </c>
      <c r="S52" t="s">
        <v>554</v>
      </c>
      <c r="T52" t="s">
        <v>557</v>
      </c>
    </row>
    <row r="53" spans="1:20" x14ac:dyDescent="0.25">
      <c r="A53" s="2">
        <v>58571134000142</v>
      </c>
      <c r="B53" s="3" t="s">
        <v>238</v>
      </c>
      <c r="C53" s="3" t="s">
        <v>238</v>
      </c>
      <c r="D53" s="3" t="s">
        <v>100</v>
      </c>
      <c r="E53" s="3">
        <v>947</v>
      </c>
      <c r="F53" s="3" t="s">
        <v>59</v>
      </c>
      <c r="G53" s="3" t="s">
        <v>10</v>
      </c>
      <c r="H53" s="3" t="s">
        <v>11</v>
      </c>
      <c r="I53" s="3" t="s">
        <v>542</v>
      </c>
      <c r="J53" s="3">
        <v>5</v>
      </c>
      <c r="K53" s="3" t="s">
        <v>543</v>
      </c>
      <c r="L53" s="3" t="s">
        <v>65</v>
      </c>
      <c r="M53" s="3"/>
      <c r="N53" s="3"/>
      <c r="O53" s="3"/>
      <c r="P53" s="3"/>
      <c r="Q53" t="str">
        <f t="shared" si="0"/>
        <v>QUANTIDADE DE LINHAS  5  VALOR DA CONTA  0.00</v>
      </c>
      <c r="R53" t="s">
        <v>555</v>
      </c>
      <c r="S53" t="s">
        <v>554</v>
      </c>
      <c r="T53" t="s">
        <v>557</v>
      </c>
    </row>
    <row r="54" spans="1:20" x14ac:dyDescent="0.25">
      <c r="A54" s="2">
        <v>11220575000136</v>
      </c>
      <c r="B54" s="3" t="s">
        <v>239</v>
      </c>
      <c r="C54" s="3" t="s">
        <v>239</v>
      </c>
      <c r="D54" s="3" t="s">
        <v>117</v>
      </c>
      <c r="E54" s="3">
        <v>500</v>
      </c>
      <c r="F54" s="3" t="s">
        <v>59</v>
      </c>
      <c r="G54" s="3" t="s">
        <v>10</v>
      </c>
      <c r="H54" s="3" t="s">
        <v>11</v>
      </c>
      <c r="I54" s="3" t="s">
        <v>542</v>
      </c>
      <c r="J54" s="3">
        <v>8</v>
      </c>
      <c r="K54" s="3" t="s">
        <v>543</v>
      </c>
      <c r="L54" s="3" t="s">
        <v>240</v>
      </c>
      <c r="M54" s="3" t="s">
        <v>241</v>
      </c>
      <c r="N54" s="3">
        <v>11987976661</v>
      </c>
      <c r="O54" s="3"/>
      <c r="P54" s="3" t="s">
        <v>242</v>
      </c>
      <c r="Q54" t="str">
        <f t="shared" si="0"/>
        <v>QUANTIDADE DE LINHAS  8  VALOR DA CONTA  148.61</v>
      </c>
      <c r="R54" t="s">
        <v>555</v>
      </c>
      <c r="S54" t="s">
        <v>554</v>
      </c>
      <c r="T54" t="s">
        <v>557</v>
      </c>
    </row>
    <row r="55" spans="1:20" x14ac:dyDescent="0.25">
      <c r="A55" s="2">
        <v>7728659000108</v>
      </c>
      <c r="B55" s="3" t="s">
        <v>243</v>
      </c>
      <c r="C55" s="3" t="s">
        <v>243</v>
      </c>
      <c r="D55" s="3" t="s">
        <v>244</v>
      </c>
      <c r="E55" s="3">
        <v>254</v>
      </c>
      <c r="F55" s="3" t="s">
        <v>59</v>
      </c>
      <c r="G55" s="3" t="s">
        <v>10</v>
      </c>
      <c r="H55" s="3" t="s">
        <v>11</v>
      </c>
      <c r="I55" s="3" t="s">
        <v>542</v>
      </c>
      <c r="J55" s="3">
        <v>0</v>
      </c>
      <c r="K55" s="3" t="s">
        <v>543</v>
      </c>
      <c r="L55" s="3" t="s">
        <v>245</v>
      </c>
      <c r="M55" s="3" t="s">
        <v>246</v>
      </c>
      <c r="N55" s="3">
        <v>11961735100</v>
      </c>
      <c r="O55" s="3"/>
      <c r="P55" s="3"/>
      <c r="Q55" t="str">
        <f t="shared" si="0"/>
        <v>QUANTIDADE DE LINHAS  0  VALOR DA CONTA  1456.19</v>
      </c>
      <c r="R55" t="s">
        <v>555</v>
      </c>
      <c r="S55" t="s">
        <v>554</v>
      </c>
      <c r="T55" t="s">
        <v>557</v>
      </c>
    </row>
    <row r="56" spans="1:20" x14ac:dyDescent="0.25">
      <c r="A56" s="2">
        <v>14920277000147</v>
      </c>
      <c r="B56" s="3" t="s">
        <v>247</v>
      </c>
      <c r="C56" s="3" t="s">
        <v>247</v>
      </c>
      <c r="D56" s="3" t="s">
        <v>248</v>
      </c>
      <c r="E56" s="3">
        <v>378</v>
      </c>
      <c r="F56" s="3" t="s">
        <v>59</v>
      </c>
      <c r="G56" s="3" t="s">
        <v>10</v>
      </c>
      <c r="H56" s="3" t="s">
        <v>11</v>
      </c>
      <c r="I56" s="3" t="s">
        <v>542</v>
      </c>
      <c r="J56" s="3">
        <v>1</v>
      </c>
      <c r="K56" s="3" t="s">
        <v>543</v>
      </c>
      <c r="L56" s="3" t="s">
        <v>249</v>
      </c>
      <c r="M56" s="3" t="s">
        <v>250</v>
      </c>
      <c r="N56" s="3">
        <v>11963470064</v>
      </c>
      <c r="O56" s="3">
        <v>11963470064</v>
      </c>
      <c r="P56" s="3" t="s">
        <v>251</v>
      </c>
      <c r="Q56" t="str">
        <f t="shared" si="0"/>
        <v>QUANTIDADE DE LINHAS  1  VALOR DA CONTA  46.00</v>
      </c>
      <c r="R56" t="s">
        <v>555</v>
      </c>
      <c r="S56" t="s">
        <v>554</v>
      </c>
      <c r="T56" t="s">
        <v>557</v>
      </c>
    </row>
    <row r="57" spans="1:20" x14ac:dyDescent="0.25">
      <c r="A57" s="2">
        <v>8277163000128</v>
      </c>
      <c r="B57" s="3" t="s">
        <v>252</v>
      </c>
      <c r="C57" s="3" t="s">
        <v>252</v>
      </c>
      <c r="D57" s="3" t="s">
        <v>117</v>
      </c>
      <c r="E57" s="3">
        <v>1117</v>
      </c>
      <c r="F57" s="3" t="s">
        <v>59</v>
      </c>
      <c r="G57" s="3" t="s">
        <v>10</v>
      </c>
      <c r="H57" s="3" t="s">
        <v>11</v>
      </c>
      <c r="I57" s="3" t="s">
        <v>542</v>
      </c>
      <c r="J57" s="3">
        <v>19</v>
      </c>
      <c r="K57" s="3" t="s">
        <v>543</v>
      </c>
      <c r="L57" s="3" t="s">
        <v>253</v>
      </c>
      <c r="M57" s="3" t="s">
        <v>252</v>
      </c>
      <c r="N57" s="3">
        <v>1122059238</v>
      </c>
      <c r="O57" s="3"/>
      <c r="P57" s="3" t="s">
        <v>254</v>
      </c>
      <c r="Q57" t="str">
        <f t="shared" si="0"/>
        <v>QUANTIDADE DE LINHAS  19  VALOR DA CONTA  614.08</v>
      </c>
      <c r="R57" t="s">
        <v>555</v>
      </c>
      <c r="S57" t="s">
        <v>554</v>
      </c>
      <c r="T57" t="s">
        <v>557</v>
      </c>
    </row>
    <row r="58" spans="1:20" x14ac:dyDescent="0.25">
      <c r="A58" s="2">
        <v>2095944000115</v>
      </c>
      <c r="B58" s="3" t="s">
        <v>255</v>
      </c>
      <c r="C58" s="3" t="s">
        <v>255</v>
      </c>
      <c r="D58" s="3" t="s">
        <v>256</v>
      </c>
      <c r="E58" s="3">
        <v>249</v>
      </c>
      <c r="F58" s="3" t="s">
        <v>59</v>
      </c>
      <c r="G58" s="3" t="s">
        <v>10</v>
      </c>
      <c r="H58" s="3" t="s">
        <v>11</v>
      </c>
      <c r="I58" s="3" t="s">
        <v>542</v>
      </c>
      <c r="J58" s="3">
        <v>0</v>
      </c>
      <c r="K58" s="3" t="s">
        <v>543</v>
      </c>
      <c r="L58" s="3" t="s">
        <v>257</v>
      </c>
      <c r="M58" s="3" t="s">
        <v>258</v>
      </c>
      <c r="N58" s="3">
        <v>11985588398</v>
      </c>
      <c r="O58" s="3">
        <v>11941201866</v>
      </c>
      <c r="P58" s="3" t="s">
        <v>259</v>
      </c>
      <c r="Q58" t="str">
        <f t="shared" si="0"/>
        <v>QUANTIDADE DE LINHAS  0  VALOR DA CONTA  2.69</v>
      </c>
      <c r="R58" t="s">
        <v>555</v>
      </c>
      <c r="S58" t="s">
        <v>554</v>
      </c>
      <c r="T58" t="s">
        <v>557</v>
      </c>
    </row>
    <row r="59" spans="1:20" x14ac:dyDescent="0.25">
      <c r="A59" s="2">
        <v>5139105000140</v>
      </c>
      <c r="B59" s="3" t="s">
        <v>260</v>
      </c>
      <c r="C59" s="3" t="s">
        <v>260</v>
      </c>
      <c r="D59" s="3" t="s">
        <v>261</v>
      </c>
      <c r="E59" s="3">
        <v>177</v>
      </c>
      <c r="F59" s="3" t="s">
        <v>9</v>
      </c>
      <c r="G59" s="3" t="s">
        <v>10</v>
      </c>
      <c r="H59" s="3" t="s">
        <v>11</v>
      </c>
      <c r="I59" s="3" t="s">
        <v>542</v>
      </c>
      <c r="J59" s="3">
        <v>6</v>
      </c>
      <c r="K59" s="3" t="s">
        <v>543</v>
      </c>
      <c r="L59" s="3" t="s">
        <v>262</v>
      </c>
      <c r="M59" s="3" t="s">
        <v>263</v>
      </c>
      <c r="N59" s="3">
        <v>1120913763</v>
      </c>
      <c r="O59" s="3">
        <v>11982739417</v>
      </c>
      <c r="P59" s="3" t="s">
        <v>264</v>
      </c>
      <c r="Q59" t="str">
        <f t="shared" si="0"/>
        <v>QUANTIDADE DE LINHAS  6  VALOR DA CONTA  47.41</v>
      </c>
      <c r="R59" t="s">
        <v>555</v>
      </c>
      <c r="S59" t="s">
        <v>554</v>
      </c>
      <c r="T59" t="s">
        <v>557</v>
      </c>
    </row>
    <row r="60" spans="1:20" x14ac:dyDescent="0.25">
      <c r="A60" s="2">
        <v>6128687000121</v>
      </c>
      <c r="B60" s="3" t="s">
        <v>265</v>
      </c>
      <c r="C60" s="3" t="s">
        <v>265</v>
      </c>
      <c r="D60" s="3" t="s">
        <v>266</v>
      </c>
      <c r="E60" s="3">
        <v>462</v>
      </c>
      <c r="F60" s="3" t="s">
        <v>9</v>
      </c>
      <c r="G60" s="3" t="s">
        <v>10</v>
      </c>
      <c r="H60" s="3" t="s">
        <v>11</v>
      </c>
      <c r="I60" s="3" t="s">
        <v>542</v>
      </c>
      <c r="J60" s="3">
        <v>0</v>
      </c>
      <c r="K60" s="3" t="s">
        <v>543</v>
      </c>
      <c r="L60" s="3" t="s">
        <v>65</v>
      </c>
      <c r="M60" s="3" t="s">
        <v>267</v>
      </c>
      <c r="N60" s="3">
        <v>11968050982</v>
      </c>
      <c r="O60" s="3"/>
      <c r="P60" s="3"/>
      <c r="Q60" t="str">
        <f t="shared" si="0"/>
        <v>QUANTIDADE DE LINHAS  0  VALOR DA CONTA  0.00</v>
      </c>
      <c r="R60" t="s">
        <v>555</v>
      </c>
      <c r="S60" t="s">
        <v>554</v>
      </c>
      <c r="T60" t="s">
        <v>557</v>
      </c>
    </row>
    <row r="61" spans="1:20" x14ac:dyDescent="0.25">
      <c r="A61" s="2">
        <v>7576331000113</v>
      </c>
      <c r="B61" s="3" t="s">
        <v>268</v>
      </c>
      <c r="C61" s="3" t="s">
        <v>268</v>
      </c>
      <c r="D61" s="3" t="s">
        <v>269</v>
      </c>
      <c r="E61" s="3">
        <v>164</v>
      </c>
      <c r="F61" s="3" t="s">
        <v>9</v>
      </c>
      <c r="G61" s="3" t="s">
        <v>10</v>
      </c>
      <c r="H61" s="3" t="s">
        <v>11</v>
      </c>
      <c r="I61" s="3" t="s">
        <v>542</v>
      </c>
      <c r="J61" s="3">
        <v>2</v>
      </c>
      <c r="K61" s="3" t="s">
        <v>543</v>
      </c>
      <c r="L61" s="3" t="s">
        <v>270</v>
      </c>
      <c r="M61" s="3" t="s">
        <v>271</v>
      </c>
      <c r="N61" s="3">
        <v>11981810443</v>
      </c>
      <c r="O61" s="3">
        <v>1123655108</v>
      </c>
      <c r="P61" s="3" t="s">
        <v>272</v>
      </c>
      <c r="Q61" t="str">
        <f t="shared" si="0"/>
        <v>QUANTIDADE DE LINHAS  2  VALOR DA CONTA  3.88</v>
      </c>
      <c r="R61" t="s">
        <v>555</v>
      </c>
      <c r="S61" t="s">
        <v>554</v>
      </c>
      <c r="T61" t="s">
        <v>557</v>
      </c>
    </row>
    <row r="62" spans="1:20" x14ac:dyDescent="0.25">
      <c r="A62" s="2">
        <v>5800312000101</v>
      </c>
      <c r="B62" s="3" t="s">
        <v>273</v>
      </c>
      <c r="C62" s="3" t="s">
        <v>273</v>
      </c>
      <c r="D62" s="3" t="s">
        <v>274</v>
      </c>
      <c r="E62" s="3">
        <v>222</v>
      </c>
      <c r="F62" s="3" t="s">
        <v>9</v>
      </c>
      <c r="G62" s="3" t="s">
        <v>10</v>
      </c>
      <c r="H62" s="3" t="s">
        <v>11</v>
      </c>
      <c r="I62" s="3" t="s">
        <v>542</v>
      </c>
      <c r="J62" s="3">
        <v>0</v>
      </c>
      <c r="K62" s="3" t="s">
        <v>543</v>
      </c>
      <c r="L62" s="3" t="s">
        <v>275</v>
      </c>
      <c r="M62" s="3" t="s">
        <v>276</v>
      </c>
      <c r="N62" s="3">
        <v>11969340718</v>
      </c>
      <c r="O62" s="3"/>
      <c r="P62" s="3"/>
      <c r="Q62" t="str">
        <f t="shared" si="0"/>
        <v>QUANTIDADE DE LINHAS  0  VALOR DA CONTA  3382.88</v>
      </c>
      <c r="R62" t="s">
        <v>555</v>
      </c>
      <c r="S62" t="s">
        <v>554</v>
      </c>
      <c r="T62" t="s">
        <v>557</v>
      </c>
    </row>
    <row r="63" spans="1:20" x14ac:dyDescent="0.25">
      <c r="A63" s="2">
        <v>5847310000160</v>
      </c>
      <c r="B63" s="3" t="s">
        <v>277</v>
      </c>
      <c r="C63" s="3" t="s">
        <v>277</v>
      </c>
      <c r="D63" s="3" t="s">
        <v>278</v>
      </c>
      <c r="E63" s="3">
        <v>162</v>
      </c>
      <c r="F63" s="3" t="s">
        <v>279</v>
      </c>
      <c r="G63" s="3" t="s">
        <v>10</v>
      </c>
      <c r="H63" s="3" t="s">
        <v>11</v>
      </c>
      <c r="I63" s="3" t="s">
        <v>542</v>
      </c>
      <c r="J63" s="3">
        <v>0</v>
      </c>
      <c r="K63" s="3" t="s">
        <v>543</v>
      </c>
      <c r="L63" s="3" t="s">
        <v>280</v>
      </c>
      <c r="M63" s="3"/>
      <c r="N63" s="3"/>
      <c r="O63" s="3"/>
      <c r="P63" s="3"/>
      <c r="Q63" t="str">
        <f t="shared" si="0"/>
        <v>QUANTIDADE DE LINHAS  0  VALOR DA CONTA  4.24</v>
      </c>
      <c r="R63" t="s">
        <v>555</v>
      </c>
      <c r="S63" t="s">
        <v>554</v>
      </c>
      <c r="T63" t="s">
        <v>557</v>
      </c>
    </row>
    <row r="64" spans="1:20" x14ac:dyDescent="0.25">
      <c r="A64" s="2">
        <v>67707117000180</v>
      </c>
      <c r="B64" s="3" t="s">
        <v>281</v>
      </c>
      <c r="C64" s="3" t="s">
        <v>281</v>
      </c>
      <c r="D64" s="3" t="s">
        <v>282</v>
      </c>
      <c r="E64" s="3">
        <v>1087</v>
      </c>
      <c r="F64" s="3" t="s">
        <v>9</v>
      </c>
      <c r="G64" s="3" t="s">
        <v>10</v>
      </c>
      <c r="H64" s="3" t="s">
        <v>11</v>
      </c>
      <c r="I64" s="3" t="s">
        <v>542</v>
      </c>
      <c r="J64" s="3">
        <v>2</v>
      </c>
      <c r="K64" s="3" t="s">
        <v>543</v>
      </c>
      <c r="L64" s="3" t="s">
        <v>283</v>
      </c>
      <c r="M64" s="3" t="s">
        <v>284</v>
      </c>
      <c r="N64" s="3">
        <v>1122950684</v>
      </c>
      <c r="O64" s="3">
        <v>11985080081</v>
      </c>
      <c r="P64" s="3" t="s">
        <v>285</v>
      </c>
      <c r="Q64" t="str">
        <f t="shared" si="0"/>
        <v>QUANTIDADE DE LINHAS  2  VALOR DA CONTA  122.90</v>
      </c>
      <c r="R64" t="s">
        <v>555</v>
      </c>
      <c r="S64" t="s">
        <v>554</v>
      </c>
      <c r="T64" t="s">
        <v>557</v>
      </c>
    </row>
    <row r="65" spans="1:20" x14ac:dyDescent="0.25">
      <c r="A65" s="2">
        <v>20336279000196</v>
      </c>
      <c r="B65" s="3" t="s">
        <v>286</v>
      </c>
      <c r="C65" s="3" t="s">
        <v>286</v>
      </c>
      <c r="D65" s="3" t="s">
        <v>105</v>
      </c>
      <c r="E65" s="3">
        <v>951</v>
      </c>
      <c r="F65" s="3" t="s">
        <v>59</v>
      </c>
      <c r="G65" s="3" t="s">
        <v>10</v>
      </c>
      <c r="H65" s="3" t="s">
        <v>11</v>
      </c>
      <c r="I65" s="3" t="s">
        <v>542</v>
      </c>
      <c r="J65" s="3">
        <v>2</v>
      </c>
      <c r="K65" s="3" t="s">
        <v>543</v>
      </c>
      <c r="L65" s="3" t="s">
        <v>65</v>
      </c>
      <c r="M65" s="3" t="s">
        <v>287</v>
      </c>
      <c r="N65" s="3">
        <v>11944720450</v>
      </c>
      <c r="O65" s="3"/>
      <c r="P65" s="3" t="s">
        <v>288</v>
      </c>
      <c r="Q65" t="str">
        <f t="shared" si="0"/>
        <v>QUANTIDADE DE LINHAS  2  VALOR DA CONTA  0.00</v>
      </c>
      <c r="R65" t="s">
        <v>555</v>
      </c>
      <c r="S65" t="s">
        <v>554</v>
      </c>
      <c r="T65" t="s">
        <v>557</v>
      </c>
    </row>
    <row r="66" spans="1:20" x14ac:dyDescent="0.25">
      <c r="A66" s="2">
        <v>1763463000178</v>
      </c>
      <c r="B66" s="3" t="s">
        <v>289</v>
      </c>
      <c r="C66" s="3" t="s">
        <v>289</v>
      </c>
      <c r="D66" s="3" t="s">
        <v>290</v>
      </c>
      <c r="E66" s="3">
        <v>146</v>
      </c>
      <c r="F66" s="3" t="s">
        <v>9</v>
      </c>
      <c r="G66" s="3" t="s">
        <v>10</v>
      </c>
      <c r="H66" s="3" t="s">
        <v>11</v>
      </c>
      <c r="I66" s="3" t="s">
        <v>542</v>
      </c>
      <c r="J66" s="3">
        <v>0</v>
      </c>
      <c r="K66" s="3" t="s">
        <v>543</v>
      </c>
      <c r="L66" s="3" t="s">
        <v>291</v>
      </c>
      <c r="M66" s="3" t="s">
        <v>292</v>
      </c>
      <c r="N66" s="3">
        <v>1122969437</v>
      </c>
      <c r="O66" s="3"/>
      <c r="P66" s="3" t="s">
        <v>293</v>
      </c>
      <c r="Q66" t="str">
        <f t="shared" si="0"/>
        <v>QUANTIDADE DE LINHAS  0  VALOR DA CONTA  206.63</v>
      </c>
      <c r="R66" t="s">
        <v>555</v>
      </c>
      <c r="S66" t="s">
        <v>554</v>
      </c>
      <c r="T66" t="s">
        <v>557</v>
      </c>
    </row>
    <row r="67" spans="1:20" x14ac:dyDescent="0.25">
      <c r="A67" s="2">
        <v>17689213000175</v>
      </c>
      <c r="B67" s="3" t="s">
        <v>294</v>
      </c>
      <c r="C67" s="3" t="s">
        <v>294</v>
      </c>
      <c r="D67" s="3" t="s">
        <v>154</v>
      </c>
      <c r="E67" s="3">
        <v>626</v>
      </c>
      <c r="F67" s="3" t="s">
        <v>9</v>
      </c>
      <c r="G67" s="3" t="s">
        <v>10</v>
      </c>
      <c r="H67" s="3" t="s">
        <v>11</v>
      </c>
      <c r="I67" s="3" t="s">
        <v>542</v>
      </c>
      <c r="J67" s="3">
        <v>3</v>
      </c>
      <c r="K67" s="3" t="s">
        <v>543</v>
      </c>
      <c r="L67" s="3" t="s">
        <v>295</v>
      </c>
      <c r="M67" s="3" t="s">
        <v>296</v>
      </c>
      <c r="N67" s="3">
        <v>11960947125</v>
      </c>
      <c r="O67" s="3"/>
      <c r="P67" s="3" t="s">
        <v>297</v>
      </c>
      <c r="Q67" t="str">
        <f t="shared" ref="Q67:Q125" si="1">CONCATENATE(I67 &amp;"  "&amp;J67 &amp;"  "&amp;K67 &amp;"  "&amp;L67)</f>
        <v>QUANTIDADE DE LINHAS  3  VALOR DA CONTA  25.70</v>
      </c>
      <c r="R67" t="s">
        <v>555</v>
      </c>
      <c r="S67" t="s">
        <v>554</v>
      </c>
      <c r="T67" t="s">
        <v>557</v>
      </c>
    </row>
    <row r="68" spans="1:20" x14ac:dyDescent="0.25">
      <c r="A68" s="2">
        <v>60186764000145</v>
      </c>
      <c r="B68" s="3" t="s">
        <v>298</v>
      </c>
      <c r="C68" s="3" t="s">
        <v>298</v>
      </c>
      <c r="D68" s="3" t="s">
        <v>299</v>
      </c>
      <c r="E68" s="3">
        <v>229</v>
      </c>
      <c r="F68" s="3" t="s">
        <v>16</v>
      </c>
      <c r="G68" s="3" t="s">
        <v>17</v>
      </c>
      <c r="H68" s="3" t="s">
        <v>11</v>
      </c>
      <c r="I68" s="3" t="s">
        <v>542</v>
      </c>
      <c r="J68" s="3">
        <v>2</v>
      </c>
      <c r="K68" s="3" t="s">
        <v>543</v>
      </c>
      <c r="L68" s="3" t="s">
        <v>300</v>
      </c>
      <c r="M68" s="3" t="s">
        <v>301</v>
      </c>
      <c r="N68" s="3">
        <v>1138810961</v>
      </c>
      <c r="O68" s="3">
        <v>11986847197</v>
      </c>
      <c r="P68" s="3" t="s">
        <v>302</v>
      </c>
      <c r="Q68" t="str">
        <f t="shared" si="1"/>
        <v>QUANTIDADE DE LINHAS  2  VALOR DA CONTA  291.85</v>
      </c>
      <c r="R68" t="s">
        <v>555</v>
      </c>
      <c r="S68" t="s">
        <v>554</v>
      </c>
      <c r="T68" t="s">
        <v>557</v>
      </c>
    </row>
    <row r="69" spans="1:20" x14ac:dyDescent="0.25">
      <c r="A69" s="2">
        <v>71685945000132</v>
      </c>
      <c r="B69" s="3" t="s">
        <v>303</v>
      </c>
      <c r="C69" s="3" t="s">
        <v>303</v>
      </c>
      <c r="D69" s="3" t="s">
        <v>304</v>
      </c>
      <c r="E69" s="3">
        <v>208</v>
      </c>
      <c r="F69" s="3" t="s">
        <v>9</v>
      </c>
      <c r="G69" s="3" t="s">
        <v>10</v>
      </c>
      <c r="H69" s="3" t="s">
        <v>11</v>
      </c>
      <c r="I69" s="3" t="s">
        <v>542</v>
      </c>
      <c r="J69" s="3">
        <v>17</v>
      </c>
      <c r="K69" s="3" t="s">
        <v>543</v>
      </c>
      <c r="L69" s="3" t="s">
        <v>305</v>
      </c>
      <c r="M69" s="3" t="s">
        <v>306</v>
      </c>
      <c r="N69" s="3">
        <v>1129428087</v>
      </c>
      <c r="O69" s="3">
        <v>1129428087</v>
      </c>
      <c r="P69" s="3" t="s">
        <v>307</v>
      </c>
      <c r="Q69" t="str">
        <f t="shared" si="1"/>
        <v>QUANTIDADE DE LINHAS  17  VALOR DA CONTA  64.70</v>
      </c>
      <c r="R69" t="s">
        <v>555</v>
      </c>
      <c r="S69" t="s">
        <v>554</v>
      </c>
      <c r="T69" t="s">
        <v>557</v>
      </c>
    </row>
    <row r="70" spans="1:20" x14ac:dyDescent="0.25">
      <c r="A70" s="2">
        <v>52959772000159</v>
      </c>
      <c r="B70" s="3" t="s">
        <v>308</v>
      </c>
      <c r="C70" s="3" t="s">
        <v>308</v>
      </c>
      <c r="D70" s="3" t="s">
        <v>53</v>
      </c>
      <c r="E70" s="3">
        <v>4901</v>
      </c>
      <c r="F70" s="3" t="s">
        <v>9</v>
      </c>
      <c r="G70" s="3" t="s">
        <v>10</v>
      </c>
      <c r="H70" s="3" t="s">
        <v>11</v>
      </c>
      <c r="I70" s="3" t="s">
        <v>542</v>
      </c>
      <c r="J70" s="3">
        <v>3</v>
      </c>
      <c r="K70" s="3" t="s">
        <v>543</v>
      </c>
      <c r="L70" s="3" t="s">
        <v>309</v>
      </c>
      <c r="M70" s="3" t="s">
        <v>310</v>
      </c>
      <c r="N70" s="3">
        <v>1122143390</v>
      </c>
      <c r="O70" s="3"/>
      <c r="P70" s="3" t="s">
        <v>311</v>
      </c>
      <c r="Q70" t="str">
        <f t="shared" si="1"/>
        <v>QUANTIDADE DE LINHAS  3  VALOR DA CONTA  0.74</v>
      </c>
      <c r="R70" t="s">
        <v>555</v>
      </c>
      <c r="S70" t="s">
        <v>554</v>
      </c>
      <c r="T70" t="s">
        <v>557</v>
      </c>
    </row>
    <row r="71" spans="1:20" x14ac:dyDescent="0.25">
      <c r="A71" s="2">
        <v>10766181000115</v>
      </c>
      <c r="B71" s="3" t="s">
        <v>312</v>
      </c>
      <c r="C71" s="3" t="s">
        <v>312</v>
      </c>
      <c r="D71" s="3" t="s">
        <v>313</v>
      </c>
      <c r="E71" s="3">
        <v>100</v>
      </c>
      <c r="F71" s="3" t="s">
        <v>314</v>
      </c>
      <c r="G71" s="3" t="s">
        <v>10</v>
      </c>
      <c r="H71" s="3" t="s">
        <v>11</v>
      </c>
      <c r="I71" s="3" t="s">
        <v>542</v>
      </c>
      <c r="J71" s="3">
        <v>13</v>
      </c>
      <c r="K71" s="3" t="s">
        <v>543</v>
      </c>
      <c r="L71" s="3" t="s">
        <v>65</v>
      </c>
      <c r="M71" s="3" t="s">
        <v>315</v>
      </c>
      <c r="N71" s="3">
        <v>1122682626</v>
      </c>
      <c r="O71" s="3"/>
      <c r="P71" s="3"/>
      <c r="Q71" t="str">
        <f t="shared" si="1"/>
        <v>QUANTIDADE DE LINHAS  13  VALOR DA CONTA  0.00</v>
      </c>
      <c r="R71" t="s">
        <v>555</v>
      </c>
      <c r="S71" t="s">
        <v>554</v>
      </c>
      <c r="T71" t="s">
        <v>557</v>
      </c>
    </row>
    <row r="72" spans="1:20" x14ac:dyDescent="0.25">
      <c r="A72" s="2">
        <v>8946033000130</v>
      </c>
      <c r="B72" s="3" t="s">
        <v>316</v>
      </c>
      <c r="C72" s="3" t="s">
        <v>316</v>
      </c>
      <c r="D72" s="3" t="s">
        <v>317</v>
      </c>
      <c r="E72" s="3">
        <v>711</v>
      </c>
      <c r="F72" s="3" t="s">
        <v>16</v>
      </c>
      <c r="G72" s="3" t="s">
        <v>17</v>
      </c>
      <c r="H72" s="3" t="s">
        <v>11</v>
      </c>
      <c r="I72" s="3" t="s">
        <v>542</v>
      </c>
      <c r="J72" s="3">
        <v>12</v>
      </c>
      <c r="K72" s="3" t="s">
        <v>543</v>
      </c>
      <c r="L72" s="3" t="s">
        <v>318</v>
      </c>
      <c r="M72" s="3" t="s">
        <v>319</v>
      </c>
      <c r="N72" s="3">
        <v>1150442413</v>
      </c>
      <c r="O72" s="3">
        <v>1141070900</v>
      </c>
      <c r="P72" s="3" t="s">
        <v>320</v>
      </c>
      <c r="Q72" t="str">
        <f t="shared" si="1"/>
        <v>QUANTIDADE DE LINHAS  12  VALOR DA CONTA  91.33</v>
      </c>
      <c r="R72" t="s">
        <v>555</v>
      </c>
      <c r="S72" t="s">
        <v>554</v>
      </c>
      <c r="T72" t="s">
        <v>557</v>
      </c>
    </row>
    <row r="73" spans="1:20" x14ac:dyDescent="0.25">
      <c r="A73" s="2">
        <v>3123953000135</v>
      </c>
      <c r="B73" s="3" t="s">
        <v>321</v>
      </c>
      <c r="C73" s="3" t="s">
        <v>321</v>
      </c>
      <c r="D73" s="3" t="s">
        <v>322</v>
      </c>
      <c r="E73" s="3">
        <v>204</v>
      </c>
      <c r="F73" s="3" t="s">
        <v>16</v>
      </c>
      <c r="G73" s="3" t="s">
        <v>17</v>
      </c>
      <c r="H73" s="3" t="s">
        <v>11</v>
      </c>
      <c r="I73" s="3" t="s">
        <v>542</v>
      </c>
      <c r="J73" s="3">
        <v>3</v>
      </c>
      <c r="K73" s="3" t="s">
        <v>543</v>
      </c>
      <c r="L73" s="3" t="s">
        <v>323</v>
      </c>
      <c r="M73" s="3"/>
      <c r="N73" s="3"/>
      <c r="O73" s="3"/>
      <c r="P73" s="3"/>
      <c r="Q73" t="str">
        <f t="shared" si="1"/>
        <v>QUANTIDADE DE LINHAS  3  VALOR DA CONTA  22.20</v>
      </c>
      <c r="R73" t="s">
        <v>555</v>
      </c>
      <c r="S73" t="s">
        <v>554</v>
      </c>
      <c r="T73" t="s">
        <v>557</v>
      </c>
    </row>
    <row r="74" spans="1:20" x14ac:dyDescent="0.25">
      <c r="A74" s="2">
        <v>11231262000183</v>
      </c>
      <c r="B74" s="3" t="s">
        <v>324</v>
      </c>
      <c r="C74" s="3" t="s">
        <v>324</v>
      </c>
      <c r="D74" s="3" t="s">
        <v>325</v>
      </c>
      <c r="E74" s="3">
        <v>421</v>
      </c>
      <c r="F74" s="3" t="s">
        <v>9</v>
      </c>
      <c r="G74" s="3" t="s">
        <v>10</v>
      </c>
      <c r="H74" s="3" t="s">
        <v>11</v>
      </c>
      <c r="I74" s="3" t="s">
        <v>542</v>
      </c>
      <c r="J74" s="3">
        <v>1</v>
      </c>
      <c r="K74" s="3" t="s">
        <v>543</v>
      </c>
      <c r="L74" s="3" t="s">
        <v>326</v>
      </c>
      <c r="M74" s="3" t="s">
        <v>327</v>
      </c>
      <c r="N74" s="3">
        <v>11952325932</v>
      </c>
      <c r="O74" s="3">
        <v>1122931805</v>
      </c>
      <c r="P74" s="3" t="s">
        <v>328</v>
      </c>
      <c r="Q74" t="str">
        <f t="shared" si="1"/>
        <v>QUANTIDADE DE LINHAS  1  VALOR DA CONTA  30.90</v>
      </c>
      <c r="R74" t="s">
        <v>555</v>
      </c>
      <c r="S74" t="s">
        <v>554</v>
      </c>
      <c r="T74" t="s">
        <v>557</v>
      </c>
    </row>
    <row r="75" spans="1:20" x14ac:dyDescent="0.25">
      <c r="A75" s="2">
        <v>5754917000103</v>
      </c>
      <c r="B75" s="3" t="s">
        <v>329</v>
      </c>
      <c r="C75" s="3" t="s">
        <v>329</v>
      </c>
      <c r="D75" s="3" t="s">
        <v>330</v>
      </c>
      <c r="E75" s="3">
        <v>41</v>
      </c>
      <c r="F75" s="3" t="s">
        <v>9</v>
      </c>
      <c r="G75" s="3" t="s">
        <v>10</v>
      </c>
      <c r="H75" s="3" t="s">
        <v>11</v>
      </c>
      <c r="I75" s="3" t="s">
        <v>542</v>
      </c>
      <c r="J75" s="3">
        <v>22</v>
      </c>
      <c r="K75" s="3" t="s">
        <v>543</v>
      </c>
      <c r="L75" s="3" t="s">
        <v>331</v>
      </c>
      <c r="M75" s="3" t="s">
        <v>332</v>
      </c>
      <c r="N75" s="3">
        <v>1135696902</v>
      </c>
      <c r="O75" s="3">
        <v>1135696902</v>
      </c>
      <c r="P75" s="3" t="s">
        <v>333</v>
      </c>
      <c r="Q75" t="str">
        <f t="shared" si="1"/>
        <v>QUANTIDADE DE LINHAS  22  VALOR DA CONTA  7.99</v>
      </c>
      <c r="R75" t="s">
        <v>555</v>
      </c>
      <c r="S75" t="s">
        <v>554</v>
      </c>
      <c r="T75" t="s">
        <v>557</v>
      </c>
    </row>
    <row r="76" spans="1:20" x14ac:dyDescent="0.25">
      <c r="A76" s="2">
        <v>12056360000194</v>
      </c>
      <c r="B76" s="3" t="s">
        <v>334</v>
      </c>
      <c r="C76" s="3" t="s">
        <v>334</v>
      </c>
      <c r="D76" s="3" t="s">
        <v>335</v>
      </c>
      <c r="E76" s="3">
        <v>1266</v>
      </c>
      <c r="F76" s="3" t="s">
        <v>16</v>
      </c>
      <c r="G76" s="3" t="s">
        <v>17</v>
      </c>
      <c r="H76" s="3" t="s">
        <v>11</v>
      </c>
      <c r="I76" s="3" t="s">
        <v>542</v>
      </c>
      <c r="J76" s="3">
        <v>8</v>
      </c>
      <c r="K76" s="3" t="s">
        <v>543</v>
      </c>
      <c r="L76" s="3" t="s">
        <v>336</v>
      </c>
      <c r="M76" s="3" t="s">
        <v>337</v>
      </c>
      <c r="N76" s="3">
        <v>1177913322</v>
      </c>
      <c r="O76" s="3"/>
      <c r="P76" s="3" t="s">
        <v>338</v>
      </c>
      <c r="Q76" t="str">
        <f t="shared" si="1"/>
        <v>QUANTIDADE DE LINHAS  8  VALOR DA CONTA  109.50</v>
      </c>
      <c r="R76" t="s">
        <v>555</v>
      </c>
      <c r="S76" t="s">
        <v>554</v>
      </c>
      <c r="T76" t="s">
        <v>557</v>
      </c>
    </row>
    <row r="77" spans="1:20" x14ac:dyDescent="0.25">
      <c r="A77" s="2">
        <v>578455000199</v>
      </c>
      <c r="B77" s="3" t="s">
        <v>339</v>
      </c>
      <c r="C77" s="3" t="s">
        <v>339</v>
      </c>
      <c r="D77" s="3" t="s">
        <v>340</v>
      </c>
      <c r="E77" s="3">
        <v>227</v>
      </c>
      <c r="F77" s="3" t="s">
        <v>16</v>
      </c>
      <c r="G77" s="3" t="s">
        <v>17</v>
      </c>
      <c r="H77" s="3" t="s">
        <v>11</v>
      </c>
      <c r="I77" s="3" t="s">
        <v>542</v>
      </c>
      <c r="J77" s="3">
        <v>4</v>
      </c>
      <c r="K77" s="3" t="s">
        <v>543</v>
      </c>
      <c r="L77" s="3" t="s">
        <v>341</v>
      </c>
      <c r="M77" s="3" t="s">
        <v>339</v>
      </c>
      <c r="N77" s="3">
        <v>1128495266</v>
      </c>
      <c r="O77" s="3">
        <v>1120942000</v>
      </c>
      <c r="P77" s="3" t="s">
        <v>342</v>
      </c>
      <c r="Q77" t="str">
        <f t="shared" si="1"/>
        <v>QUANTIDADE DE LINHAS  4  VALOR DA CONTA  4.40</v>
      </c>
      <c r="R77" t="s">
        <v>555</v>
      </c>
      <c r="S77" t="s">
        <v>554</v>
      </c>
      <c r="T77" t="s">
        <v>557</v>
      </c>
    </row>
    <row r="78" spans="1:20" x14ac:dyDescent="0.25">
      <c r="A78" s="2">
        <v>5075883000112</v>
      </c>
      <c r="B78" s="3" t="s">
        <v>343</v>
      </c>
      <c r="C78" s="3" t="s">
        <v>343</v>
      </c>
      <c r="D78" s="3" t="s">
        <v>15</v>
      </c>
      <c r="E78" s="3">
        <v>1040</v>
      </c>
      <c r="F78" s="3" t="s">
        <v>16</v>
      </c>
      <c r="G78" s="3" t="s">
        <v>17</v>
      </c>
      <c r="H78" s="3" t="s">
        <v>11</v>
      </c>
      <c r="I78" s="3" t="s">
        <v>542</v>
      </c>
      <c r="J78" s="3">
        <v>5</v>
      </c>
      <c r="K78" s="3" t="s">
        <v>543</v>
      </c>
      <c r="L78" s="3" t="s">
        <v>344</v>
      </c>
      <c r="M78" s="3" t="s">
        <v>345</v>
      </c>
      <c r="N78" s="3">
        <v>1130191500</v>
      </c>
      <c r="O78" s="3">
        <v>1130194169</v>
      </c>
      <c r="P78" s="3" t="s">
        <v>346</v>
      </c>
      <c r="Q78" t="str">
        <f t="shared" si="1"/>
        <v>QUANTIDADE DE LINHAS  5  VALOR DA CONTA  34.50</v>
      </c>
      <c r="R78" t="s">
        <v>555</v>
      </c>
      <c r="S78" t="s">
        <v>554</v>
      </c>
      <c r="T78" t="s">
        <v>557</v>
      </c>
    </row>
    <row r="79" spans="1:20" x14ac:dyDescent="0.25">
      <c r="A79" s="2">
        <v>677373000100</v>
      </c>
      <c r="B79" s="3" t="s">
        <v>347</v>
      </c>
      <c r="C79" s="3" t="s">
        <v>347</v>
      </c>
      <c r="D79" s="3" t="s">
        <v>15</v>
      </c>
      <c r="E79" s="3">
        <v>1109</v>
      </c>
      <c r="F79" s="3" t="s">
        <v>16</v>
      </c>
      <c r="G79" s="3" t="s">
        <v>17</v>
      </c>
      <c r="H79" s="3" t="s">
        <v>11</v>
      </c>
      <c r="I79" s="3" t="s">
        <v>542</v>
      </c>
      <c r="J79" s="3">
        <v>10</v>
      </c>
      <c r="K79" s="3" t="s">
        <v>543</v>
      </c>
      <c r="L79" s="3" t="s">
        <v>348</v>
      </c>
      <c r="M79" s="3" t="s">
        <v>349</v>
      </c>
      <c r="N79" s="3">
        <v>1122934207</v>
      </c>
      <c r="O79" s="3"/>
      <c r="P79" s="3" t="s">
        <v>350</v>
      </c>
      <c r="Q79" t="str">
        <f t="shared" si="1"/>
        <v>QUANTIDADE DE LINHAS  10  VALOR DA CONTA  170.23</v>
      </c>
      <c r="R79" t="s">
        <v>555</v>
      </c>
      <c r="S79" t="s">
        <v>554</v>
      </c>
      <c r="T79" t="s">
        <v>557</v>
      </c>
    </row>
    <row r="80" spans="1:20" x14ac:dyDescent="0.25">
      <c r="A80" s="2">
        <v>56309545000139</v>
      </c>
      <c r="B80" s="3" t="s">
        <v>351</v>
      </c>
      <c r="C80" s="3" t="s">
        <v>351</v>
      </c>
      <c r="D80" s="3" t="s">
        <v>304</v>
      </c>
      <c r="E80" s="3">
        <v>169</v>
      </c>
      <c r="F80" s="3" t="s">
        <v>9</v>
      </c>
      <c r="G80" s="3" t="s">
        <v>10</v>
      </c>
      <c r="H80" s="3" t="s">
        <v>11</v>
      </c>
      <c r="I80" s="3" t="s">
        <v>542</v>
      </c>
      <c r="J80" s="3">
        <v>0</v>
      </c>
      <c r="K80" s="3" t="s">
        <v>543</v>
      </c>
      <c r="L80" s="3" t="s">
        <v>65</v>
      </c>
      <c r="M80" s="3"/>
      <c r="N80" s="3"/>
      <c r="O80" s="3"/>
      <c r="P80" s="3"/>
      <c r="Q80" t="str">
        <f t="shared" si="1"/>
        <v>QUANTIDADE DE LINHAS  0  VALOR DA CONTA  0.00</v>
      </c>
      <c r="R80" t="s">
        <v>555</v>
      </c>
      <c r="S80" t="s">
        <v>554</v>
      </c>
      <c r="T80" t="s">
        <v>557</v>
      </c>
    </row>
    <row r="81" spans="1:20" x14ac:dyDescent="0.25">
      <c r="A81" s="2">
        <v>5206964000104</v>
      </c>
      <c r="B81" s="3" t="s">
        <v>352</v>
      </c>
      <c r="C81" s="3" t="s">
        <v>352</v>
      </c>
      <c r="D81" s="3" t="s">
        <v>90</v>
      </c>
      <c r="E81" s="3">
        <v>383</v>
      </c>
      <c r="F81" s="3" t="s">
        <v>59</v>
      </c>
      <c r="G81" s="3" t="s">
        <v>10</v>
      </c>
      <c r="H81" s="3" t="s">
        <v>11</v>
      </c>
      <c r="I81" s="3" t="s">
        <v>542</v>
      </c>
      <c r="J81" s="3">
        <v>2</v>
      </c>
      <c r="K81" s="3" t="s">
        <v>543</v>
      </c>
      <c r="L81" s="3" t="s">
        <v>353</v>
      </c>
      <c r="M81" s="3" t="s">
        <v>354</v>
      </c>
      <c r="N81" s="3">
        <v>1120723500</v>
      </c>
      <c r="O81" s="3">
        <v>11997244540</v>
      </c>
      <c r="P81" s="3" t="s">
        <v>355</v>
      </c>
      <c r="Q81" t="str">
        <f t="shared" si="1"/>
        <v>QUANTIDADE DE LINHAS  2  VALOR DA CONTA  0.59</v>
      </c>
      <c r="R81" t="s">
        <v>555</v>
      </c>
      <c r="S81" t="s">
        <v>554</v>
      </c>
      <c r="T81" t="s">
        <v>557</v>
      </c>
    </row>
    <row r="82" spans="1:20" x14ac:dyDescent="0.25">
      <c r="A82" s="2">
        <v>9720832000157</v>
      </c>
      <c r="B82" s="3" t="s">
        <v>356</v>
      </c>
      <c r="C82" s="3" t="s">
        <v>356</v>
      </c>
      <c r="D82" s="3" t="s">
        <v>357</v>
      </c>
      <c r="E82" s="3">
        <v>48</v>
      </c>
      <c r="F82" s="3" t="s">
        <v>9</v>
      </c>
      <c r="G82" s="3" t="s">
        <v>10</v>
      </c>
      <c r="H82" s="3" t="s">
        <v>11</v>
      </c>
      <c r="I82" s="3" t="s">
        <v>542</v>
      </c>
      <c r="J82" s="3">
        <v>11</v>
      </c>
      <c r="K82" s="3" t="s">
        <v>543</v>
      </c>
      <c r="L82" s="3" t="s">
        <v>358</v>
      </c>
      <c r="M82" s="3" t="s">
        <v>359</v>
      </c>
      <c r="N82" s="3">
        <v>1122681087</v>
      </c>
      <c r="O82" s="3">
        <v>11987938624</v>
      </c>
      <c r="P82" s="3" t="s">
        <v>360</v>
      </c>
      <c r="Q82" t="str">
        <f t="shared" si="1"/>
        <v>QUANTIDADE DE LINHAS  11  VALOR DA CONTA  14.73</v>
      </c>
      <c r="R82" t="s">
        <v>555</v>
      </c>
      <c r="S82" t="s">
        <v>554</v>
      </c>
      <c r="T82" t="s">
        <v>557</v>
      </c>
    </row>
    <row r="83" spans="1:20" x14ac:dyDescent="0.25">
      <c r="A83" s="2">
        <v>68134477000101</v>
      </c>
      <c r="B83" s="3" t="s">
        <v>361</v>
      </c>
      <c r="C83" s="3" t="s">
        <v>361</v>
      </c>
      <c r="D83" s="3" t="s">
        <v>362</v>
      </c>
      <c r="E83" s="3">
        <v>43</v>
      </c>
      <c r="F83" s="3" t="s">
        <v>9</v>
      </c>
      <c r="G83" s="3" t="s">
        <v>10</v>
      </c>
      <c r="H83" s="3" t="s">
        <v>11</v>
      </c>
      <c r="I83" s="3" t="s">
        <v>542</v>
      </c>
      <c r="J83" s="3">
        <v>9</v>
      </c>
      <c r="K83" s="3" t="s">
        <v>543</v>
      </c>
      <c r="L83" s="3" t="s">
        <v>363</v>
      </c>
      <c r="M83" s="3" t="s">
        <v>364</v>
      </c>
      <c r="N83" s="3">
        <v>1122277800</v>
      </c>
      <c r="O83" s="3">
        <v>11984033111</v>
      </c>
      <c r="P83" s="3" t="s">
        <v>365</v>
      </c>
      <c r="Q83" t="str">
        <f t="shared" si="1"/>
        <v>QUANTIDADE DE LINHAS  9  VALOR DA CONTA  13.70</v>
      </c>
      <c r="R83" t="s">
        <v>555</v>
      </c>
      <c r="S83" t="s">
        <v>554</v>
      </c>
      <c r="T83" t="s">
        <v>557</v>
      </c>
    </row>
    <row r="84" spans="1:20" x14ac:dyDescent="0.25">
      <c r="A84" s="2">
        <v>8117275000111</v>
      </c>
      <c r="B84" s="3" t="s">
        <v>366</v>
      </c>
      <c r="C84" s="3" t="s">
        <v>366</v>
      </c>
      <c r="D84" s="3" t="s">
        <v>367</v>
      </c>
      <c r="E84" s="3">
        <v>309</v>
      </c>
      <c r="F84" s="3" t="s">
        <v>368</v>
      </c>
      <c r="G84" s="3" t="s">
        <v>10</v>
      </c>
      <c r="H84" s="3" t="s">
        <v>11</v>
      </c>
      <c r="I84" s="3" t="s">
        <v>542</v>
      </c>
      <c r="J84" s="3">
        <v>0</v>
      </c>
      <c r="K84" s="3" t="s">
        <v>543</v>
      </c>
      <c r="L84" s="3" t="s">
        <v>65</v>
      </c>
      <c r="M84" s="3" t="s">
        <v>369</v>
      </c>
      <c r="N84" s="3">
        <v>11967411469</v>
      </c>
      <c r="O84" s="3"/>
      <c r="P84" s="3"/>
      <c r="Q84" t="str">
        <f t="shared" si="1"/>
        <v>QUANTIDADE DE LINHAS  0  VALOR DA CONTA  0.00</v>
      </c>
      <c r="R84" t="s">
        <v>555</v>
      </c>
      <c r="S84" t="s">
        <v>554</v>
      </c>
      <c r="T84" t="s">
        <v>557</v>
      </c>
    </row>
    <row r="85" spans="1:20" x14ac:dyDescent="0.25">
      <c r="A85" s="2">
        <v>9250874000171</v>
      </c>
      <c r="B85" s="3" t="s">
        <v>370</v>
      </c>
      <c r="C85" s="3" t="s">
        <v>370</v>
      </c>
      <c r="D85" s="3" t="s">
        <v>371</v>
      </c>
      <c r="E85" s="3">
        <v>334</v>
      </c>
      <c r="F85" s="3" t="s">
        <v>368</v>
      </c>
      <c r="G85" s="3" t="s">
        <v>10</v>
      </c>
      <c r="H85" s="3" t="s">
        <v>11</v>
      </c>
      <c r="I85" s="3" t="s">
        <v>542</v>
      </c>
      <c r="J85" s="3">
        <v>0</v>
      </c>
      <c r="K85" s="3" t="s">
        <v>543</v>
      </c>
      <c r="L85" s="3" t="s">
        <v>65</v>
      </c>
      <c r="M85" s="3" t="s">
        <v>372</v>
      </c>
      <c r="N85" s="3">
        <v>1122172469</v>
      </c>
      <c r="O85" s="3"/>
      <c r="P85" s="3"/>
      <c r="Q85" t="str">
        <f t="shared" si="1"/>
        <v>QUANTIDADE DE LINHAS  0  VALOR DA CONTA  0.00</v>
      </c>
      <c r="R85" t="s">
        <v>555</v>
      </c>
      <c r="S85" t="s">
        <v>554</v>
      </c>
      <c r="T85" t="s">
        <v>557</v>
      </c>
    </row>
    <row r="86" spans="1:20" x14ac:dyDescent="0.25">
      <c r="A86" s="2">
        <v>4146046000174</v>
      </c>
      <c r="B86" s="3" t="s">
        <v>373</v>
      </c>
      <c r="C86" s="3" t="s">
        <v>373</v>
      </c>
      <c r="D86" s="3" t="s">
        <v>374</v>
      </c>
      <c r="E86" s="3">
        <v>1266</v>
      </c>
      <c r="F86" s="3" t="s">
        <v>9</v>
      </c>
      <c r="G86" s="3" t="s">
        <v>10</v>
      </c>
      <c r="H86" s="3" t="s">
        <v>11</v>
      </c>
      <c r="I86" s="3" t="s">
        <v>542</v>
      </c>
      <c r="J86" s="3">
        <v>8</v>
      </c>
      <c r="K86" s="3" t="s">
        <v>543</v>
      </c>
      <c r="L86" s="3" t="s">
        <v>375</v>
      </c>
      <c r="M86" s="3" t="s">
        <v>376</v>
      </c>
      <c r="N86" s="3">
        <v>1149661167</v>
      </c>
      <c r="O86" s="3">
        <v>11993937616</v>
      </c>
      <c r="P86" s="3" t="s">
        <v>377</v>
      </c>
      <c r="Q86" t="str">
        <f t="shared" si="1"/>
        <v>QUANTIDADE DE LINHAS  8  VALOR DA CONTA  21.60</v>
      </c>
      <c r="R86" t="s">
        <v>555</v>
      </c>
      <c r="S86" t="s">
        <v>554</v>
      </c>
      <c r="T86" t="s">
        <v>557</v>
      </c>
    </row>
    <row r="87" spans="1:20" x14ac:dyDescent="0.25">
      <c r="A87" s="2">
        <v>96241500000194</v>
      </c>
      <c r="B87" s="3" t="s">
        <v>378</v>
      </c>
      <c r="C87" s="3" t="s">
        <v>378</v>
      </c>
      <c r="D87" s="3" t="s">
        <v>379</v>
      </c>
      <c r="E87" s="3">
        <v>414</v>
      </c>
      <c r="F87" s="3" t="s">
        <v>9</v>
      </c>
      <c r="G87" s="3" t="s">
        <v>10</v>
      </c>
      <c r="H87" s="3" t="s">
        <v>11</v>
      </c>
      <c r="I87" s="3" t="s">
        <v>542</v>
      </c>
      <c r="J87" s="3">
        <v>11</v>
      </c>
      <c r="K87" s="3" t="s">
        <v>543</v>
      </c>
      <c r="L87" s="3" t="s">
        <v>380</v>
      </c>
      <c r="M87" s="3" t="s">
        <v>381</v>
      </c>
      <c r="N87" s="3">
        <v>1129410676</v>
      </c>
      <c r="O87" s="3">
        <v>11984674142</v>
      </c>
      <c r="P87" s="3" t="s">
        <v>382</v>
      </c>
      <c r="Q87" t="str">
        <f t="shared" si="1"/>
        <v>QUANTIDADE DE LINHAS  11  VALOR DA CONTA  346.11</v>
      </c>
      <c r="R87" t="s">
        <v>555</v>
      </c>
      <c r="S87" t="s">
        <v>554</v>
      </c>
      <c r="T87" t="s">
        <v>557</v>
      </c>
    </row>
    <row r="88" spans="1:20" x14ac:dyDescent="0.25">
      <c r="A88" s="2">
        <v>3561812000102</v>
      </c>
      <c r="B88" s="3" t="s">
        <v>383</v>
      </c>
      <c r="C88" s="3" t="s">
        <v>383</v>
      </c>
      <c r="D88" s="3" t="s">
        <v>384</v>
      </c>
      <c r="E88" s="3">
        <v>720</v>
      </c>
      <c r="F88" s="3" t="s">
        <v>9</v>
      </c>
      <c r="G88" s="3" t="s">
        <v>10</v>
      </c>
      <c r="H88" s="3" t="s">
        <v>11</v>
      </c>
      <c r="I88" s="3" t="s">
        <v>542</v>
      </c>
      <c r="J88" s="3">
        <v>3</v>
      </c>
      <c r="K88" s="3" t="s">
        <v>543</v>
      </c>
      <c r="L88" s="3" t="s">
        <v>65</v>
      </c>
      <c r="M88" s="3" t="s">
        <v>385</v>
      </c>
      <c r="N88" s="3">
        <v>1197662606</v>
      </c>
      <c r="O88" s="3"/>
      <c r="P88" s="3" t="s">
        <v>386</v>
      </c>
      <c r="Q88" t="str">
        <f t="shared" si="1"/>
        <v>QUANTIDADE DE LINHAS  3  VALOR DA CONTA  0.00</v>
      </c>
      <c r="R88" t="s">
        <v>555</v>
      </c>
      <c r="S88" t="s">
        <v>554</v>
      </c>
      <c r="T88" t="s">
        <v>557</v>
      </c>
    </row>
    <row r="89" spans="1:20" x14ac:dyDescent="0.25">
      <c r="A89" s="2">
        <v>5482020000160</v>
      </c>
      <c r="B89" s="3" t="s">
        <v>387</v>
      </c>
      <c r="C89" s="3" t="s">
        <v>387</v>
      </c>
      <c r="D89" s="3" t="s">
        <v>388</v>
      </c>
      <c r="E89" s="3">
        <v>83</v>
      </c>
      <c r="F89" s="3" t="s">
        <v>9</v>
      </c>
      <c r="G89" s="3" t="s">
        <v>10</v>
      </c>
      <c r="H89" s="3" t="s">
        <v>11</v>
      </c>
      <c r="I89" s="3" t="s">
        <v>542</v>
      </c>
      <c r="J89" s="3">
        <v>31</v>
      </c>
      <c r="K89" s="3" t="s">
        <v>543</v>
      </c>
      <c r="L89" s="3" t="s">
        <v>65</v>
      </c>
      <c r="M89" s="3" t="s">
        <v>389</v>
      </c>
      <c r="N89" s="3">
        <v>11998206466</v>
      </c>
      <c r="O89" s="3">
        <v>1120906299</v>
      </c>
      <c r="P89" s="3" t="s">
        <v>390</v>
      </c>
      <c r="Q89" t="str">
        <f t="shared" si="1"/>
        <v>QUANTIDADE DE LINHAS  31  VALOR DA CONTA  0.00</v>
      </c>
      <c r="R89" t="s">
        <v>555</v>
      </c>
      <c r="S89" t="s">
        <v>554</v>
      </c>
      <c r="T89" t="s">
        <v>557</v>
      </c>
    </row>
    <row r="90" spans="1:20" x14ac:dyDescent="0.25">
      <c r="A90" s="2">
        <v>13049423000148</v>
      </c>
      <c r="B90" s="3" t="s">
        <v>391</v>
      </c>
      <c r="C90" s="3" t="s">
        <v>391</v>
      </c>
      <c r="D90" s="3" t="s">
        <v>154</v>
      </c>
      <c r="E90" s="3">
        <v>811</v>
      </c>
      <c r="F90" s="3" t="s">
        <v>9</v>
      </c>
      <c r="G90" s="3" t="s">
        <v>10</v>
      </c>
      <c r="H90" s="3" t="s">
        <v>11</v>
      </c>
      <c r="I90" s="3" t="s">
        <v>542</v>
      </c>
      <c r="J90" s="3">
        <v>5</v>
      </c>
      <c r="K90" s="3" t="s">
        <v>543</v>
      </c>
      <c r="L90" s="3" t="s">
        <v>392</v>
      </c>
      <c r="M90" s="3" t="s">
        <v>393</v>
      </c>
      <c r="N90" s="3">
        <v>1132941798</v>
      </c>
      <c r="O90" s="3">
        <v>11952480008</v>
      </c>
      <c r="P90" s="3" t="s">
        <v>394</v>
      </c>
      <c r="Q90" t="str">
        <f t="shared" si="1"/>
        <v>QUANTIDADE DE LINHAS  5  VALOR DA CONTA  3.18</v>
      </c>
      <c r="R90" t="s">
        <v>555</v>
      </c>
      <c r="S90" t="s">
        <v>554</v>
      </c>
      <c r="T90" t="s">
        <v>557</v>
      </c>
    </row>
    <row r="91" spans="1:20" x14ac:dyDescent="0.25">
      <c r="A91" s="2">
        <v>2821860000111</v>
      </c>
      <c r="B91" s="3" t="s">
        <v>395</v>
      </c>
      <c r="C91" s="3" t="s">
        <v>395</v>
      </c>
      <c r="D91" s="3" t="s">
        <v>396</v>
      </c>
      <c r="E91" s="3">
        <v>5885</v>
      </c>
      <c r="F91" s="3" t="s">
        <v>16</v>
      </c>
      <c r="G91" s="3" t="s">
        <v>17</v>
      </c>
      <c r="H91" s="3" t="s">
        <v>11</v>
      </c>
      <c r="I91" s="3" t="s">
        <v>542</v>
      </c>
      <c r="J91" s="3">
        <v>9</v>
      </c>
      <c r="K91" s="3" t="s">
        <v>543</v>
      </c>
      <c r="L91" s="3" t="s">
        <v>65</v>
      </c>
      <c r="M91" s="3" t="s">
        <v>397</v>
      </c>
      <c r="N91" s="3">
        <v>1121550781</v>
      </c>
      <c r="O91" s="3">
        <v>11983890069</v>
      </c>
      <c r="P91" s="3" t="s">
        <v>398</v>
      </c>
      <c r="Q91" t="str">
        <f t="shared" si="1"/>
        <v>QUANTIDADE DE LINHAS  9  VALOR DA CONTA  0.00</v>
      </c>
      <c r="R91" t="s">
        <v>555</v>
      </c>
      <c r="S91" t="s">
        <v>554</v>
      </c>
      <c r="T91" t="s">
        <v>557</v>
      </c>
    </row>
    <row r="92" spans="1:20" x14ac:dyDescent="0.25">
      <c r="A92" s="2">
        <v>62557301000178</v>
      </c>
      <c r="B92" s="3" t="s">
        <v>399</v>
      </c>
      <c r="C92" s="3" t="s">
        <v>399</v>
      </c>
      <c r="D92" s="3" t="s">
        <v>400</v>
      </c>
      <c r="E92" s="3">
        <v>895</v>
      </c>
      <c r="F92" s="3" t="s">
        <v>59</v>
      </c>
      <c r="G92" s="3" t="s">
        <v>10</v>
      </c>
      <c r="H92" s="3" t="s">
        <v>11</v>
      </c>
      <c r="I92" s="3" t="s">
        <v>542</v>
      </c>
      <c r="J92" s="3">
        <v>1</v>
      </c>
      <c r="K92" s="3" t="s">
        <v>543</v>
      </c>
      <c r="L92" s="3" t="s">
        <v>401</v>
      </c>
      <c r="M92" s="3" t="s">
        <v>402</v>
      </c>
      <c r="N92" s="3">
        <v>1122925697</v>
      </c>
      <c r="O92" s="3"/>
      <c r="P92" s="3" t="s">
        <v>403</v>
      </c>
      <c r="Q92" t="str">
        <f t="shared" si="1"/>
        <v>QUANTIDADE DE LINHAS  1  VALOR DA CONTA  76.75</v>
      </c>
      <c r="R92" t="s">
        <v>555</v>
      </c>
      <c r="S92" t="s">
        <v>554</v>
      </c>
      <c r="T92" t="s">
        <v>557</v>
      </c>
    </row>
    <row r="93" spans="1:20" x14ac:dyDescent="0.25">
      <c r="A93" s="2">
        <v>9062268000122</v>
      </c>
      <c r="B93" s="3" t="s">
        <v>404</v>
      </c>
      <c r="C93" s="3" t="s">
        <v>404</v>
      </c>
      <c r="D93" s="3" t="s">
        <v>405</v>
      </c>
      <c r="E93" s="3">
        <v>99</v>
      </c>
      <c r="F93" s="3" t="s">
        <v>59</v>
      </c>
      <c r="G93" s="3" t="s">
        <v>10</v>
      </c>
      <c r="H93" s="3" t="s">
        <v>11</v>
      </c>
      <c r="I93" s="3" t="s">
        <v>542</v>
      </c>
      <c r="J93" s="3">
        <v>11</v>
      </c>
      <c r="K93" s="3" t="s">
        <v>543</v>
      </c>
      <c r="L93" s="3" t="s">
        <v>406</v>
      </c>
      <c r="M93" s="3" t="s">
        <v>407</v>
      </c>
      <c r="N93" s="3">
        <v>1120563991</v>
      </c>
      <c r="O93" s="3"/>
      <c r="P93" s="3" t="s">
        <v>408</v>
      </c>
      <c r="Q93" t="str">
        <f t="shared" si="1"/>
        <v>QUANTIDADE DE LINHAS  11  VALOR DA CONTA  80.90</v>
      </c>
      <c r="R93" t="s">
        <v>555</v>
      </c>
      <c r="S93" t="s">
        <v>554</v>
      </c>
      <c r="T93" t="s">
        <v>557</v>
      </c>
    </row>
    <row r="94" spans="1:20" x14ac:dyDescent="0.25">
      <c r="A94" s="2">
        <v>4127896000125</v>
      </c>
      <c r="B94" s="3" t="s">
        <v>409</v>
      </c>
      <c r="C94" s="3" t="s">
        <v>409</v>
      </c>
      <c r="D94" s="3" t="s">
        <v>290</v>
      </c>
      <c r="E94" s="3">
        <v>145</v>
      </c>
      <c r="F94" s="3" t="s">
        <v>9</v>
      </c>
      <c r="G94" s="3" t="s">
        <v>10</v>
      </c>
      <c r="H94" s="3" t="s">
        <v>11</v>
      </c>
      <c r="I94" s="3" t="s">
        <v>542</v>
      </c>
      <c r="J94" s="3">
        <v>5</v>
      </c>
      <c r="K94" s="3" t="s">
        <v>543</v>
      </c>
      <c r="L94" s="3" t="s">
        <v>410</v>
      </c>
      <c r="M94" s="3" t="s">
        <v>411</v>
      </c>
      <c r="N94" s="3">
        <v>1120945699</v>
      </c>
      <c r="O94" s="3"/>
      <c r="P94" s="3" t="s">
        <v>412</v>
      </c>
      <c r="Q94" t="str">
        <f t="shared" si="1"/>
        <v>QUANTIDADE DE LINHAS  5  VALOR DA CONTA  199.80</v>
      </c>
      <c r="R94" t="s">
        <v>555</v>
      </c>
      <c r="S94" t="s">
        <v>554</v>
      </c>
      <c r="T94" t="s">
        <v>557</v>
      </c>
    </row>
    <row r="95" spans="1:20" x14ac:dyDescent="0.25">
      <c r="A95" s="2">
        <v>11515169000109</v>
      </c>
      <c r="B95" s="3" t="s">
        <v>413</v>
      </c>
      <c r="C95" s="3" t="s">
        <v>413</v>
      </c>
      <c r="D95" s="3" t="s">
        <v>154</v>
      </c>
      <c r="E95" s="3">
        <v>1295</v>
      </c>
      <c r="F95" s="3" t="s">
        <v>9</v>
      </c>
      <c r="G95" s="3" t="s">
        <v>10</v>
      </c>
      <c r="H95" s="3" t="s">
        <v>11</v>
      </c>
      <c r="I95" s="3" t="s">
        <v>542</v>
      </c>
      <c r="J95" s="3">
        <v>3</v>
      </c>
      <c r="K95" s="3" t="s">
        <v>543</v>
      </c>
      <c r="L95" s="3" t="s">
        <v>414</v>
      </c>
      <c r="M95" s="3" t="s">
        <v>415</v>
      </c>
      <c r="N95" s="3">
        <v>1177412017</v>
      </c>
      <c r="O95" s="3">
        <v>1122958917</v>
      </c>
      <c r="P95" s="3" t="s">
        <v>416</v>
      </c>
      <c r="Q95" t="str">
        <f t="shared" si="1"/>
        <v>QUANTIDADE DE LINHAS  3  VALOR DA CONTA  10.43</v>
      </c>
      <c r="R95" t="s">
        <v>555</v>
      </c>
      <c r="S95" t="s">
        <v>554</v>
      </c>
      <c r="T95" t="s">
        <v>557</v>
      </c>
    </row>
    <row r="96" spans="1:20" x14ac:dyDescent="0.25">
      <c r="A96" s="2">
        <v>12663457000165</v>
      </c>
      <c r="B96" s="3" t="s">
        <v>417</v>
      </c>
      <c r="C96" s="3" t="s">
        <v>417</v>
      </c>
      <c r="D96" s="3" t="s">
        <v>418</v>
      </c>
      <c r="E96" s="3">
        <v>288</v>
      </c>
      <c r="F96" s="3" t="s">
        <v>9</v>
      </c>
      <c r="G96" s="3" t="s">
        <v>10</v>
      </c>
      <c r="H96" s="3" t="s">
        <v>11</v>
      </c>
      <c r="I96" s="3" t="s">
        <v>542</v>
      </c>
      <c r="J96" s="3">
        <v>5</v>
      </c>
      <c r="K96" s="3" t="s">
        <v>543</v>
      </c>
      <c r="L96" s="3" t="s">
        <v>419</v>
      </c>
      <c r="M96" s="3" t="s">
        <v>420</v>
      </c>
      <c r="N96" s="3">
        <v>1125070052</v>
      </c>
      <c r="O96" s="3">
        <v>1178682837</v>
      </c>
      <c r="P96" s="3" t="s">
        <v>421</v>
      </c>
      <c r="Q96" t="str">
        <f t="shared" si="1"/>
        <v>QUANTIDADE DE LINHAS  5  VALOR DA CONTA  0.60</v>
      </c>
      <c r="R96" t="s">
        <v>555</v>
      </c>
      <c r="S96" t="s">
        <v>554</v>
      </c>
      <c r="T96" t="s">
        <v>557</v>
      </c>
    </row>
    <row r="97" spans="1:20" x14ac:dyDescent="0.25">
      <c r="A97" s="2">
        <v>10636072000183</v>
      </c>
      <c r="B97" s="3" t="s">
        <v>422</v>
      </c>
      <c r="C97" s="3" t="s">
        <v>422</v>
      </c>
      <c r="D97" s="3" t="s">
        <v>423</v>
      </c>
      <c r="E97" s="3">
        <v>1364</v>
      </c>
      <c r="F97" s="3" t="s">
        <v>9</v>
      </c>
      <c r="G97" s="3" t="s">
        <v>10</v>
      </c>
      <c r="H97" s="3" t="s">
        <v>11</v>
      </c>
      <c r="I97" s="3" t="s">
        <v>542</v>
      </c>
      <c r="J97" s="3">
        <v>3</v>
      </c>
      <c r="K97" s="3" t="s">
        <v>543</v>
      </c>
      <c r="L97" s="3" t="s">
        <v>424</v>
      </c>
      <c r="M97" s="3" t="s">
        <v>425</v>
      </c>
      <c r="N97" s="3">
        <v>1120937228</v>
      </c>
      <c r="O97" s="3"/>
      <c r="P97" s="3"/>
      <c r="Q97" t="str">
        <f t="shared" si="1"/>
        <v>QUANTIDADE DE LINHAS  3  VALOR DA CONTA  2.84</v>
      </c>
      <c r="R97" t="s">
        <v>555</v>
      </c>
      <c r="S97" t="s">
        <v>554</v>
      </c>
      <c r="T97" t="s">
        <v>557</v>
      </c>
    </row>
    <row r="98" spans="1:20" x14ac:dyDescent="0.25">
      <c r="A98" s="2">
        <v>51585578000198</v>
      </c>
      <c r="B98" s="3" t="s">
        <v>426</v>
      </c>
      <c r="C98" s="3" t="s">
        <v>426</v>
      </c>
      <c r="D98" s="3" t="s">
        <v>427</v>
      </c>
      <c r="E98" s="3">
        <v>36</v>
      </c>
      <c r="F98" s="3" t="s">
        <v>9</v>
      </c>
      <c r="G98" s="3" t="s">
        <v>10</v>
      </c>
      <c r="H98" s="3" t="s">
        <v>11</v>
      </c>
      <c r="I98" s="3" t="s">
        <v>542</v>
      </c>
      <c r="J98" s="3">
        <v>55</v>
      </c>
      <c r="K98" s="3" t="s">
        <v>543</v>
      </c>
      <c r="L98" s="3" t="s">
        <v>428</v>
      </c>
      <c r="M98" s="3" t="s">
        <v>429</v>
      </c>
      <c r="N98" s="3">
        <v>11986240523</v>
      </c>
      <c r="O98" s="3"/>
      <c r="P98" s="3" t="s">
        <v>430</v>
      </c>
      <c r="Q98" t="str">
        <f t="shared" si="1"/>
        <v>QUANTIDADE DE LINHAS  55  VALOR DA CONTA  379.50</v>
      </c>
      <c r="R98" t="s">
        <v>555</v>
      </c>
      <c r="S98" t="s">
        <v>554</v>
      </c>
      <c r="T98" t="s">
        <v>557</v>
      </c>
    </row>
    <row r="99" spans="1:20" x14ac:dyDescent="0.25">
      <c r="A99" s="2">
        <v>67525576000143</v>
      </c>
      <c r="B99" s="3" t="s">
        <v>431</v>
      </c>
      <c r="C99" s="3" t="s">
        <v>431</v>
      </c>
      <c r="D99" s="3" t="s">
        <v>432</v>
      </c>
      <c r="E99" s="3">
        <v>698</v>
      </c>
      <c r="F99" s="3" t="s">
        <v>9</v>
      </c>
      <c r="G99" s="3" t="s">
        <v>10</v>
      </c>
      <c r="H99" s="3" t="s">
        <v>11</v>
      </c>
      <c r="I99" s="3" t="s">
        <v>542</v>
      </c>
      <c r="J99" s="3">
        <v>5</v>
      </c>
      <c r="K99" s="3" t="s">
        <v>543</v>
      </c>
      <c r="L99" s="3" t="s">
        <v>433</v>
      </c>
      <c r="M99" s="3" t="s">
        <v>434</v>
      </c>
      <c r="N99" s="3">
        <v>1120932155</v>
      </c>
      <c r="O99" s="3">
        <v>11984560286</v>
      </c>
      <c r="P99" s="3" t="s">
        <v>435</v>
      </c>
      <c r="Q99" t="str">
        <f t="shared" si="1"/>
        <v>QUANTIDADE DE LINHAS  5  VALOR DA CONTA  1.99</v>
      </c>
      <c r="R99" t="s">
        <v>555</v>
      </c>
      <c r="S99" t="s">
        <v>554</v>
      </c>
      <c r="T99" t="s">
        <v>557</v>
      </c>
    </row>
    <row r="100" spans="1:20" x14ac:dyDescent="0.25">
      <c r="A100" s="2">
        <v>66853649000163</v>
      </c>
      <c r="B100" s="3" t="s">
        <v>436</v>
      </c>
      <c r="C100" s="3" t="s">
        <v>436</v>
      </c>
      <c r="D100" s="3" t="s">
        <v>437</v>
      </c>
      <c r="E100" s="3">
        <v>1894</v>
      </c>
      <c r="F100" s="3" t="s">
        <v>9</v>
      </c>
      <c r="G100" s="3" t="s">
        <v>10</v>
      </c>
      <c r="H100" s="3" t="s">
        <v>11</v>
      </c>
      <c r="I100" s="3" t="s">
        <v>542</v>
      </c>
      <c r="J100" s="3">
        <v>3</v>
      </c>
      <c r="K100" s="3" t="s">
        <v>543</v>
      </c>
      <c r="L100" s="3" t="s">
        <v>438</v>
      </c>
      <c r="M100" s="3"/>
      <c r="N100" s="3"/>
      <c r="O100" s="3"/>
      <c r="P100" s="3"/>
      <c r="Q100" t="str">
        <f t="shared" si="1"/>
        <v>QUANTIDADE DE LINHAS  3  VALOR DA CONTA  14.80</v>
      </c>
      <c r="R100" t="s">
        <v>555</v>
      </c>
      <c r="S100" t="s">
        <v>554</v>
      </c>
      <c r="T100" t="s">
        <v>557</v>
      </c>
    </row>
    <row r="101" spans="1:20" x14ac:dyDescent="0.25">
      <c r="A101" s="2">
        <v>61207221000120</v>
      </c>
      <c r="B101" s="3" t="s">
        <v>439</v>
      </c>
      <c r="C101" s="3" t="s">
        <v>439</v>
      </c>
      <c r="D101" s="3" t="s">
        <v>32</v>
      </c>
      <c r="E101" s="3">
        <v>1012</v>
      </c>
      <c r="F101" s="3" t="s">
        <v>9</v>
      </c>
      <c r="G101" s="3" t="s">
        <v>10</v>
      </c>
      <c r="H101" s="3" t="s">
        <v>11</v>
      </c>
      <c r="I101" s="3" t="s">
        <v>542</v>
      </c>
      <c r="J101" s="3">
        <v>0</v>
      </c>
      <c r="K101" s="3" t="s">
        <v>543</v>
      </c>
      <c r="L101" s="3" t="s">
        <v>65</v>
      </c>
      <c r="M101" s="3" t="s">
        <v>440</v>
      </c>
      <c r="N101" s="3">
        <v>11969414956</v>
      </c>
      <c r="O101" s="3"/>
      <c r="P101" s="3"/>
      <c r="Q101" t="str">
        <f t="shared" si="1"/>
        <v>QUANTIDADE DE LINHAS  0  VALOR DA CONTA  0.00</v>
      </c>
      <c r="R101" t="s">
        <v>555</v>
      </c>
      <c r="S101" t="s">
        <v>554</v>
      </c>
      <c r="T101" t="s">
        <v>557</v>
      </c>
    </row>
    <row r="102" spans="1:20" x14ac:dyDescent="0.25">
      <c r="A102" s="2">
        <v>60477809000130</v>
      </c>
      <c r="B102" s="3" t="s">
        <v>441</v>
      </c>
      <c r="C102" s="3" t="s">
        <v>441</v>
      </c>
      <c r="D102" s="3" t="s">
        <v>442</v>
      </c>
      <c r="E102" s="3">
        <v>739</v>
      </c>
      <c r="F102" s="3" t="s">
        <v>9</v>
      </c>
      <c r="G102" s="3" t="s">
        <v>10</v>
      </c>
      <c r="H102" s="3" t="s">
        <v>11</v>
      </c>
      <c r="I102" s="3" t="s">
        <v>542</v>
      </c>
      <c r="J102" s="3">
        <v>7</v>
      </c>
      <c r="K102" s="3" t="s">
        <v>543</v>
      </c>
      <c r="L102" s="3" t="s">
        <v>443</v>
      </c>
      <c r="M102" s="3" t="s">
        <v>444</v>
      </c>
      <c r="N102" s="3">
        <v>1120917551</v>
      </c>
      <c r="O102" s="3">
        <v>1120917559</v>
      </c>
      <c r="P102" s="3" t="s">
        <v>445</v>
      </c>
      <c r="Q102" t="str">
        <f t="shared" si="1"/>
        <v>QUANTIDADE DE LINHAS  7  VALOR DA CONTA  186.28</v>
      </c>
      <c r="R102" t="s">
        <v>555</v>
      </c>
      <c r="S102" t="s">
        <v>554</v>
      </c>
      <c r="T102" t="s">
        <v>557</v>
      </c>
    </row>
    <row r="103" spans="1:20" x14ac:dyDescent="0.25">
      <c r="A103" s="2">
        <v>5867843000103</v>
      </c>
      <c r="B103" s="3" t="s">
        <v>446</v>
      </c>
      <c r="C103" s="3" t="s">
        <v>446</v>
      </c>
      <c r="D103" s="3" t="s">
        <v>447</v>
      </c>
      <c r="E103" s="3">
        <v>92</v>
      </c>
      <c r="F103" s="3" t="s">
        <v>16</v>
      </c>
      <c r="G103" s="3" t="s">
        <v>17</v>
      </c>
      <c r="H103" s="3" t="s">
        <v>11</v>
      </c>
      <c r="I103" s="3" t="s">
        <v>542</v>
      </c>
      <c r="J103" s="3">
        <v>3</v>
      </c>
      <c r="K103" s="3" t="s">
        <v>543</v>
      </c>
      <c r="L103" s="3" t="s">
        <v>448</v>
      </c>
      <c r="M103" s="3" t="s">
        <v>449</v>
      </c>
      <c r="N103" s="3">
        <v>1182780092</v>
      </c>
      <c r="O103" s="3"/>
      <c r="P103" s="3" t="s">
        <v>450</v>
      </c>
      <c r="Q103" t="str">
        <f t="shared" si="1"/>
        <v>QUANTIDADE DE LINHAS  3  VALOR DA CONTA  9.91</v>
      </c>
      <c r="R103" t="s">
        <v>555</v>
      </c>
      <c r="S103" t="s">
        <v>554</v>
      </c>
      <c r="T103" t="s">
        <v>557</v>
      </c>
    </row>
    <row r="104" spans="1:20" x14ac:dyDescent="0.25">
      <c r="A104" s="2">
        <v>67976464000109</v>
      </c>
      <c r="B104" s="3" t="s">
        <v>451</v>
      </c>
      <c r="C104" s="3" t="s">
        <v>451</v>
      </c>
      <c r="D104" s="3" t="s">
        <v>437</v>
      </c>
      <c r="E104" s="3">
        <v>589</v>
      </c>
      <c r="F104" s="3" t="s">
        <v>9</v>
      </c>
      <c r="G104" s="3" t="s">
        <v>10</v>
      </c>
      <c r="H104" s="3" t="s">
        <v>11</v>
      </c>
      <c r="I104" s="3" t="s">
        <v>542</v>
      </c>
      <c r="J104" s="3">
        <v>6</v>
      </c>
      <c r="K104" s="3" t="s">
        <v>543</v>
      </c>
      <c r="L104" s="3" t="s">
        <v>452</v>
      </c>
      <c r="M104" s="3" t="s">
        <v>453</v>
      </c>
      <c r="N104" s="3">
        <v>1131041964</v>
      </c>
      <c r="O104" s="3">
        <v>11994915195</v>
      </c>
      <c r="P104" s="3" t="s">
        <v>454</v>
      </c>
      <c r="Q104" t="str">
        <f t="shared" si="1"/>
        <v>QUANTIDADE DE LINHAS  6  VALOR DA CONTA  59.54</v>
      </c>
      <c r="R104" t="s">
        <v>555</v>
      </c>
      <c r="S104" t="s">
        <v>554</v>
      </c>
      <c r="T104" t="s">
        <v>557</v>
      </c>
    </row>
    <row r="105" spans="1:20" x14ac:dyDescent="0.25">
      <c r="A105" s="2">
        <v>3243038000183</v>
      </c>
      <c r="B105" s="3" t="s">
        <v>455</v>
      </c>
      <c r="C105" s="3" t="s">
        <v>455</v>
      </c>
      <c r="D105" s="3" t="s">
        <v>335</v>
      </c>
      <c r="E105" s="3">
        <v>298</v>
      </c>
      <c r="F105" s="3" t="s">
        <v>16</v>
      </c>
      <c r="G105" s="3" t="s">
        <v>17</v>
      </c>
      <c r="H105" s="3" t="s">
        <v>11</v>
      </c>
      <c r="I105" s="3" t="s">
        <v>542</v>
      </c>
      <c r="J105" s="3">
        <v>391</v>
      </c>
      <c r="K105" s="3" t="s">
        <v>543</v>
      </c>
      <c r="L105" s="3" t="s">
        <v>456</v>
      </c>
      <c r="M105" s="3" t="s">
        <v>457</v>
      </c>
      <c r="N105" s="3"/>
      <c r="O105" s="3">
        <v>11961986820</v>
      </c>
      <c r="P105" s="3" t="s">
        <v>458</v>
      </c>
      <c r="Q105" t="str">
        <f t="shared" si="1"/>
        <v>QUANTIDADE DE LINHAS  391  VALOR DA CONTA  33.97</v>
      </c>
      <c r="R105" t="s">
        <v>555</v>
      </c>
      <c r="S105" t="s">
        <v>554</v>
      </c>
      <c r="T105" t="s">
        <v>557</v>
      </c>
    </row>
    <row r="106" spans="1:20" x14ac:dyDescent="0.25">
      <c r="A106" s="2">
        <v>5967055000199</v>
      </c>
      <c r="B106" s="3" t="s">
        <v>459</v>
      </c>
      <c r="C106" s="3" t="s">
        <v>459</v>
      </c>
      <c r="D106" s="3" t="s">
        <v>460</v>
      </c>
      <c r="E106" s="3">
        <v>460</v>
      </c>
      <c r="F106" s="3" t="s">
        <v>9</v>
      </c>
      <c r="G106" s="3" t="s">
        <v>10</v>
      </c>
      <c r="H106" s="3" t="s">
        <v>11</v>
      </c>
      <c r="I106" s="3" t="s">
        <v>542</v>
      </c>
      <c r="J106" s="3">
        <v>5</v>
      </c>
      <c r="K106" s="3" t="s">
        <v>543</v>
      </c>
      <c r="L106" s="3" t="s">
        <v>461</v>
      </c>
      <c r="M106" s="3" t="s">
        <v>462</v>
      </c>
      <c r="N106" s="3">
        <v>11996462776</v>
      </c>
      <c r="O106" s="3">
        <v>1122956013</v>
      </c>
      <c r="P106" s="3" t="s">
        <v>463</v>
      </c>
      <c r="Q106" t="str">
        <f t="shared" si="1"/>
        <v>QUANTIDADE DE LINHAS  5  VALOR DA CONTA  10.47</v>
      </c>
      <c r="R106" t="s">
        <v>555</v>
      </c>
      <c r="S106" t="s">
        <v>554</v>
      </c>
      <c r="T106" t="s">
        <v>557</v>
      </c>
    </row>
    <row r="107" spans="1:20" x14ac:dyDescent="0.25">
      <c r="A107" s="2">
        <v>2984140000177</v>
      </c>
      <c r="B107" s="3" t="s">
        <v>464</v>
      </c>
      <c r="C107" s="3" t="s">
        <v>464</v>
      </c>
      <c r="D107" s="3" t="s">
        <v>379</v>
      </c>
      <c r="E107" s="3">
        <v>262</v>
      </c>
      <c r="F107" s="3" t="s">
        <v>9</v>
      </c>
      <c r="G107" s="3" t="s">
        <v>10</v>
      </c>
      <c r="H107" s="3" t="s">
        <v>11</v>
      </c>
      <c r="I107" s="3" t="s">
        <v>542</v>
      </c>
      <c r="J107" s="3">
        <v>1</v>
      </c>
      <c r="K107" s="3" t="s">
        <v>543</v>
      </c>
      <c r="L107" s="3" t="s">
        <v>465</v>
      </c>
      <c r="M107" s="3" t="s">
        <v>464</v>
      </c>
      <c r="N107" s="3">
        <v>1135696902</v>
      </c>
      <c r="O107" s="3"/>
      <c r="P107" s="3" t="s">
        <v>466</v>
      </c>
      <c r="Q107" t="str">
        <f t="shared" si="1"/>
        <v>QUANTIDADE DE LINHAS  1  VALOR DA CONTA  1.38</v>
      </c>
      <c r="R107" t="s">
        <v>555</v>
      </c>
      <c r="S107" t="s">
        <v>554</v>
      </c>
      <c r="T107" t="s">
        <v>557</v>
      </c>
    </row>
    <row r="108" spans="1:20" x14ac:dyDescent="0.25">
      <c r="A108" s="2">
        <v>8487466000175</v>
      </c>
      <c r="B108" s="3" t="s">
        <v>467</v>
      </c>
      <c r="C108" s="3" t="s">
        <v>467</v>
      </c>
      <c r="D108" s="3" t="s">
        <v>468</v>
      </c>
      <c r="E108" s="3">
        <v>457</v>
      </c>
      <c r="F108" s="3" t="s">
        <v>9</v>
      </c>
      <c r="G108" s="3" t="s">
        <v>10</v>
      </c>
      <c r="H108" s="3" t="s">
        <v>11</v>
      </c>
      <c r="I108" s="3" t="s">
        <v>542</v>
      </c>
      <c r="J108" s="3">
        <v>15</v>
      </c>
      <c r="K108" s="3" t="s">
        <v>543</v>
      </c>
      <c r="L108" s="3" t="s">
        <v>469</v>
      </c>
      <c r="M108" s="3" t="s">
        <v>470</v>
      </c>
      <c r="N108" s="3">
        <v>1143296450</v>
      </c>
      <c r="O108" s="3">
        <v>11987495581</v>
      </c>
      <c r="P108" s="3" t="s">
        <v>471</v>
      </c>
      <c r="Q108" t="str">
        <f t="shared" si="1"/>
        <v>QUANTIDADE DE LINHAS  15  VALOR DA CONTA  710.90</v>
      </c>
      <c r="R108" t="s">
        <v>555</v>
      </c>
      <c r="S108" t="s">
        <v>554</v>
      </c>
      <c r="T108" t="s">
        <v>557</v>
      </c>
    </row>
    <row r="109" spans="1:20" x14ac:dyDescent="0.25">
      <c r="A109" s="2">
        <v>5220318000100</v>
      </c>
      <c r="B109" s="3" t="s">
        <v>472</v>
      </c>
      <c r="C109" s="3" t="s">
        <v>472</v>
      </c>
      <c r="D109" s="3" t="s">
        <v>473</v>
      </c>
      <c r="E109" s="3">
        <v>52</v>
      </c>
      <c r="F109" s="3" t="s">
        <v>9</v>
      </c>
      <c r="G109" s="3" t="s">
        <v>10</v>
      </c>
      <c r="H109" s="3" t="s">
        <v>11</v>
      </c>
      <c r="I109" s="3" t="s">
        <v>542</v>
      </c>
      <c r="J109" s="3">
        <v>4</v>
      </c>
      <c r="K109" s="3" t="s">
        <v>543</v>
      </c>
      <c r="L109" s="3" t="s">
        <v>474</v>
      </c>
      <c r="M109" s="3"/>
      <c r="N109" s="3"/>
      <c r="O109" s="3"/>
      <c r="P109" s="3"/>
      <c r="Q109" t="str">
        <f t="shared" si="1"/>
        <v>QUANTIDADE DE LINHAS  4  VALOR DA CONTA  0.12</v>
      </c>
      <c r="R109" t="s">
        <v>555</v>
      </c>
      <c r="S109" t="s">
        <v>554</v>
      </c>
      <c r="T109" t="s">
        <v>557</v>
      </c>
    </row>
    <row r="110" spans="1:20" x14ac:dyDescent="0.25">
      <c r="A110" s="2">
        <v>3853286000146</v>
      </c>
      <c r="B110" s="3" t="s">
        <v>475</v>
      </c>
      <c r="C110" s="3" t="s">
        <v>475</v>
      </c>
      <c r="D110" s="3" t="s">
        <v>476</v>
      </c>
      <c r="E110" s="3">
        <v>56</v>
      </c>
      <c r="F110" s="3" t="s">
        <v>9</v>
      </c>
      <c r="G110" s="3" t="s">
        <v>10</v>
      </c>
      <c r="H110" s="3" t="s">
        <v>11</v>
      </c>
      <c r="I110" s="3" t="s">
        <v>542</v>
      </c>
      <c r="J110" s="3">
        <v>31</v>
      </c>
      <c r="K110" s="3" t="s">
        <v>543</v>
      </c>
      <c r="L110" s="3" t="s">
        <v>477</v>
      </c>
      <c r="M110" s="3" t="s">
        <v>478</v>
      </c>
      <c r="N110" s="3">
        <v>1137950018</v>
      </c>
      <c r="O110" s="3">
        <v>1137950000</v>
      </c>
      <c r="P110" s="3" t="s">
        <v>479</v>
      </c>
      <c r="Q110" t="str">
        <f t="shared" si="1"/>
        <v>QUANTIDADE DE LINHAS  31  VALOR DA CONTA  0.72</v>
      </c>
      <c r="R110" t="s">
        <v>555</v>
      </c>
      <c r="S110" t="s">
        <v>554</v>
      </c>
      <c r="T110" t="s">
        <v>557</v>
      </c>
    </row>
    <row r="111" spans="1:20" x14ac:dyDescent="0.25">
      <c r="A111" s="2">
        <v>5378846000183</v>
      </c>
      <c r="B111" s="3" t="s">
        <v>480</v>
      </c>
      <c r="C111" s="3" t="s">
        <v>480</v>
      </c>
      <c r="D111" s="3" t="s">
        <v>481</v>
      </c>
      <c r="E111" s="3">
        <v>204</v>
      </c>
      <c r="F111" s="3" t="s">
        <v>9</v>
      </c>
      <c r="G111" s="3" t="s">
        <v>10</v>
      </c>
      <c r="H111" s="3" t="s">
        <v>11</v>
      </c>
      <c r="I111" s="3" t="s">
        <v>542</v>
      </c>
      <c r="J111" s="3">
        <v>22</v>
      </c>
      <c r="K111" s="3" t="s">
        <v>543</v>
      </c>
      <c r="L111" s="3" t="s">
        <v>482</v>
      </c>
      <c r="M111" s="3" t="s">
        <v>156</v>
      </c>
      <c r="N111" s="3">
        <v>1128395542</v>
      </c>
      <c r="O111" s="3">
        <v>11993084270</v>
      </c>
      <c r="P111" s="3" t="s">
        <v>157</v>
      </c>
      <c r="Q111" t="str">
        <f t="shared" si="1"/>
        <v>QUANTIDADE DE LINHAS  22  VALOR DA CONTA  2107.44</v>
      </c>
      <c r="R111" t="s">
        <v>555</v>
      </c>
      <c r="S111" t="s">
        <v>554</v>
      </c>
      <c r="T111" t="s">
        <v>557</v>
      </c>
    </row>
    <row r="112" spans="1:20" x14ac:dyDescent="0.25">
      <c r="A112" s="2">
        <v>13295801000173</v>
      </c>
      <c r="B112" s="3" t="s">
        <v>483</v>
      </c>
      <c r="C112" s="3" t="s">
        <v>483</v>
      </c>
      <c r="D112" s="3" t="s">
        <v>484</v>
      </c>
      <c r="E112" s="3">
        <v>221</v>
      </c>
      <c r="F112" s="3" t="s">
        <v>9</v>
      </c>
      <c r="G112" s="3" t="s">
        <v>10</v>
      </c>
      <c r="H112" s="3" t="s">
        <v>11</v>
      </c>
      <c r="I112" s="3" t="s">
        <v>542</v>
      </c>
      <c r="J112" s="3">
        <v>7</v>
      </c>
      <c r="K112" s="3" t="s">
        <v>543</v>
      </c>
      <c r="L112" s="3" t="s">
        <v>485</v>
      </c>
      <c r="M112" s="3" t="s">
        <v>486</v>
      </c>
      <c r="N112" s="3">
        <v>11979674862</v>
      </c>
      <c r="O112" s="3">
        <v>11981632475</v>
      </c>
      <c r="P112" s="3" t="s">
        <v>487</v>
      </c>
      <c r="Q112" t="str">
        <f t="shared" si="1"/>
        <v>QUANTIDADE DE LINHAS  7  VALOR DA CONTA  7.98</v>
      </c>
      <c r="R112" t="s">
        <v>555</v>
      </c>
      <c r="S112" t="s">
        <v>554</v>
      </c>
      <c r="T112" t="s">
        <v>557</v>
      </c>
    </row>
    <row r="113" spans="1:20" x14ac:dyDescent="0.25">
      <c r="A113" s="2">
        <v>7034949000151</v>
      </c>
      <c r="B113" s="3" t="s">
        <v>488</v>
      </c>
      <c r="C113" s="3" t="s">
        <v>488</v>
      </c>
      <c r="D113" s="3" t="s">
        <v>489</v>
      </c>
      <c r="E113" s="3">
        <v>581</v>
      </c>
      <c r="F113" s="3" t="s">
        <v>368</v>
      </c>
      <c r="G113" s="3" t="s">
        <v>17</v>
      </c>
      <c r="H113" s="3" t="s">
        <v>11</v>
      </c>
      <c r="I113" s="3" t="s">
        <v>542</v>
      </c>
      <c r="J113" s="3">
        <v>5</v>
      </c>
      <c r="K113" s="3" t="s">
        <v>543</v>
      </c>
      <c r="L113" s="3" t="s">
        <v>490</v>
      </c>
      <c r="M113" s="3" t="s">
        <v>491</v>
      </c>
      <c r="N113" s="3">
        <v>1127475747</v>
      </c>
      <c r="O113" s="3"/>
      <c r="P113" s="3" t="s">
        <v>492</v>
      </c>
      <c r="Q113" t="str">
        <f t="shared" si="1"/>
        <v>QUANTIDADE DE LINHAS  5  VALOR DA CONTA  3.60</v>
      </c>
      <c r="R113" t="s">
        <v>555</v>
      </c>
      <c r="S113" t="s">
        <v>554</v>
      </c>
      <c r="T113" t="s">
        <v>557</v>
      </c>
    </row>
    <row r="114" spans="1:20" x14ac:dyDescent="0.25">
      <c r="A114" s="2">
        <v>74630773000198</v>
      </c>
      <c r="B114" s="3" t="s">
        <v>493</v>
      </c>
      <c r="C114" s="3" t="s">
        <v>493</v>
      </c>
      <c r="D114" s="3" t="s">
        <v>494</v>
      </c>
      <c r="E114" s="3">
        <v>56</v>
      </c>
      <c r="F114" s="3" t="s">
        <v>9</v>
      </c>
      <c r="G114" s="3" t="s">
        <v>10</v>
      </c>
      <c r="H114" s="3" t="s">
        <v>11</v>
      </c>
      <c r="I114" s="3" t="s">
        <v>542</v>
      </c>
      <c r="J114" s="3">
        <v>1</v>
      </c>
      <c r="K114" s="3" t="s">
        <v>543</v>
      </c>
      <c r="L114" s="3" t="s">
        <v>495</v>
      </c>
      <c r="M114" s="3"/>
      <c r="N114" s="3"/>
      <c r="O114" s="3"/>
      <c r="P114" s="3"/>
      <c r="Q114" t="str">
        <f t="shared" si="1"/>
        <v>QUANTIDADE DE LINHAS  1  VALOR DA CONTA  2.92</v>
      </c>
      <c r="R114" t="s">
        <v>555</v>
      </c>
      <c r="S114" t="s">
        <v>554</v>
      </c>
      <c r="T114" t="s">
        <v>557</v>
      </c>
    </row>
    <row r="115" spans="1:20" x14ac:dyDescent="0.25">
      <c r="A115" s="2">
        <v>5126863000123</v>
      </c>
      <c r="B115" s="3" t="s">
        <v>496</v>
      </c>
      <c r="C115" s="3" t="s">
        <v>496</v>
      </c>
      <c r="D115" s="3" t="s">
        <v>423</v>
      </c>
      <c r="E115" s="3">
        <v>893</v>
      </c>
      <c r="F115" s="3" t="s">
        <v>9</v>
      </c>
      <c r="G115" s="3" t="s">
        <v>10</v>
      </c>
      <c r="H115" s="3" t="s">
        <v>11</v>
      </c>
      <c r="I115" s="3" t="s">
        <v>542</v>
      </c>
      <c r="J115" s="3">
        <v>5</v>
      </c>
      <c r="K115" s="3" t="s">
        <v>543</v>
      </c>
      <c r="L115" s="3" t="s">
        <v>497</v>
      </c>
      <c r="M115" s="3" t="s">
        <v>498</v>
      </c>
      <c r="N115" s="3">
        <v>1122950341</v>
      </c>
      <c r="O115" s="3">
        <v>11994542422</v>
      </c>
      <c r="P115" s="3" t="s">
        <v>499</v>
      </c>
      <c r="Q115" t="str">
        <f t="shared" si="1"/>
        <v>QUANTIDADE DE LINHAS  5  VALOR DA CONTA  5.90</v>
      </c>
      <c r="R115" t="s">
        <v>555</v>
      </c>
      <c r="S115" t="s">
        <v>554</v>
      </c>
      <c r="T115" t="s">
        <v>557</v>
      </c>
    </row>
    <row r="116" spans="1:20" x14ac:dyDescent="0.25">
      <c r="A116" s="2">
        <v>12584658000177</v>
      </c>
      <c r="B116" s="3" t="s">
        <v>500</v>
      </c>
      <c r="C116" s="3" t="s">
        <v>500</v>
      </c>
      <c r="D116" s="3" t="s">
        <v>335</v>
      </c>
      <c r="E116" s="3">
        <v>1755</v>
      </c>
      <c r="F116" s="3" t="s">
        <v>16</v>
      </c>
      <c r="G116" s="3" t="s">
        <v>17</v>
      </c>
      <c r="H116" s="3" t="s">
        <v>11</v>
      </c>
      <c r="I116" s="3" t="s">
        <v>542</v>
      </c>
      <c r="J116" s="3">
        <v>316</v>
      </c>
      <c r="K116" s="3" t="s">
        <v>543</v>
      </c>
      <c r="L116" s="3" t="s">
        <v>501</v>
      </c>
      <c r="M116" s="3" t="s">
        <v>502</v>
      </c>
      <c r="N116" s="3">
        <v>1126413670</v>
      </c>
      <c r="O116" s="3"/>
      <c r="P116" s="3" t="s">
        <v>503</v>
      </c>
      <c r="Q116" t="str">
        <f t="shared" si="1"/>
        <v>QUANTIDADE DE LINHAS  316  VALOR DA CONTA  99.60</v>
      </c>
      <c r="R116" t="s">
        <v>555</v>
      </c>
      <c r="S116" t="s">
        <v>554</v>
      </c>
      <c r="T116" t="s">
        <v>557</v>
      </c>
    </row>
    <row r="117" spans="1:20" x14ac:dyDescent="0.25">
      <c r="A117" s="2">
        <v>56192511000107</v>
      </c>
      <c r="B117" s="3" t="s">
        <v>504</v>
      </c>
      <c r="C117" s="3" t="s">
        <v>504</v>
      </c>
      <c r="D117" s="3" t="s">
        <v>505</v>
      </c>
      <c r="E117" s="3">
        <v>88</v>
      </c>
      <c r="F117" s="3" t="s">
        <v>16</v>
      </c>
      <c r="G117" s="3" t="s">
        <v>17</v>
      </c>
      <c r="H117" s="3" t="s">
        <v>11</v>
      </c>
      <c r="I117" s="3" t="s">
        <v>542</v>
      </c>
      <c r="J117" s="3">
        <v>0</v>
      </c>
      <c r="K117" s="3" t="s">
        <v>543</v>
      </c>
      <c r="L117" s="3" t="s">
        <v>506</v>
      </c>
      <c r="M117" s="3" t="s">
        <v>507</v>
      </c>
      <c r="N117" s="3">
        <v>11966417376</v>
      </c>
      <c r="O117" s="3"/>
      <c r="P117" s="3"/>
      <c r="Q117" t="str">
        <f t="shared" si="1"/>
        <v>QUANTIDADE DE LINHAS  0  VALOR DA CONTA  46.59</v>
      </c>
      <c r="R117" t="s">
        <v>555</v>
      </c>
      <c r="S117" t="s">
        <v>554</v>
      </c>
      <c r="T117" t="s">
        <v>557</v>
      </c>
    </row>
    <row r="118" spans="1:20" x14ac:dyDescent="0.25">
      <c r="A118" s="2">
        <v>10635144000178</v>
      </c>
      <c r="B118" s="3" t="s">
        <v>508</v>
      </c>
      <c r="C118" s="3" t="s">
        <v>508</v>
      </c>
      <c r="D118" s="3" t="s">
        <v>509</v>
      </c>
      <c r="E118" s="3">
        <v>279</v>
      </c>
      <c r="F118" s="3" t="s">
        <v>16</v>
      </c>
      <c r="G118" s="3" t="s">
        <v>17</v>
      </c>
      <c r="H118" s="3" t="s">
        <v>11</v>
      </c>
      <c r="I118" s="3" t="s">
        <v>542</v>
      </c>
      <c r="J118" s="3">
        <v>11</v>
      </c>
      <c r="K118" s="3" t="s">
        <v>543</v>
      </c>
      <c r="L118" s="3" t="s">
        <v>510</v>
      </c>
      <c r="M118" s="3" t="s">
        <v>511</v>
      </c>
      <c r="N118" s="3">
        <v>1120936729</v>
      </c>
      <c r="O118" s="3"/>
      <c r="P118" s="3"/>
      <c r="Q118" t="str">
        <f t="shared" si="1"/>
        <v>QUANTIDADE DE LINHAS  11  VALOR DA CONTA  8.33</v>
      </c>
      <c r="R118" t="s">
        <v>555</v>
      </c>
      <c r="S118" t="s">
        <v>554</v>
      </c>
      <c r="T118" t="s">
        <v>557</v>
      </c>
    </row>
    <row r="119" spans="1:20" x14ac:dyDescent="0.25">
      <c r="A119" s="2">
        <v>9347354000181</v>
      </c>
      <c r="B119" s="3" t="s">
        <v>512</v>
      </c>
      <c r="C119" s="3" t="s">
        <v>512</v>
      </c>
      <c r="D119" s="3" t="s">
        <v>513</v>
      </c>
      <c r="E119" s="3">
        <v>60</v>
      </c>
      <c r="F119" s="3" t="s">
        <v>16</v>
      </c>
      <c r="G119" s="3" t="s">
        <v>17</v>
      </c>
      <c r="H119" s="3" t="s">
        <v>11</v>
      </c>
      <c r="I119" s="3" t="s">
        <v>542</v>
      </c>
      <c r="J119" s="3">
        <v>6</v>
      </c>
      <c r="K119" s="3" t="s">
        <v>543</v>
      </c>
      <c r="L119" s="3" t="s">
        <v>514</v>
      </c>
      <c r="M119" s="3" t="s">
        <v>512</v>
      </c>
      <c r="N119" s="3">
        <v>11987600048</v>
      </c>
      <c r="O119" s="3">
        <v>1126737098</v>
      </c>
      <c r="P119" s="3" t="s">
        <v>515</v>
      </c>
      <c r="Q119" t="str">
        <f t="shared" si="1"/>
        <v>QUANTIDADE DE LINHAS  6  VALOR DA CONTA  93.13</v>
      </c>
      <c r="R119" t="s">
        <v>555</v>
      </c>
      <c r="S119" t="s">
        <v>554</v>
      </c>
      <c r="T119" t="s">
        <v>557</v>
      </c>
    </row>
    <row r="120" spans="1:20" x14ac:dyDescent="0.25">
      <c r="A120" s="2">
        <v>46131447000109</v>
      </c>
      <c r="B120" s="3" t="s">
        <v>516</v>
      </c>
      <c r="C120" s="3" t="s">
        <v>516</v>
      </c>
      <c r="D120" s="3" t="s">
        <v>282</v>
      </c>
      <c r="E120" s="3">
        <v>1070</v>
      </c>
      <c r="F120" s="3" t="s">
        <v>9</v>
      </c>
      <c r="G120" s="3" t="s">
        <v>10</v>
      </c>
      <c r="H120" s="3" t="s">
        <v>11</v>
      </c>
      <c r="I120" s="3" t="s">
        <v>542</v>
      </c>
      <c r="J120" s="3">
        <v>4</v>
      </c>
      <c r="K120" s="3" t="s">
        <v>543</v>
      </c>
      <c r="L120" s="3" t="s">
        <v>517</v>
      </c>
      <c r="M120" s="3" t="s">
        <v>518</v>
      </c>
      <c r="N120" s="3">
        <v>1139386900</v>
      </c>
      <c r="O120" s="3"/>
      <c r="P120" s="3" t="s">
        <v>519</v>
      </c>
      <c r="Q120" t="str">
        <f t="shared" si="1"/>
        <v>QUANTIDADE DE LINHAS  4  VALOR DA CONTA  13.80</v>
      </c>
      <c r="R120" t="s">
        <v>555</v>
      </c>
      <c r="S120" t="s">
        <v>554</v>
      </c>
      <c r="T120" t="s">
        <v>557</v>
      </c>
    </row>
    <row r="121" spans="1:20" x14ac:dyDescent="0.25">
      <c r="A121" s="2">
        <v>9432189000166</v>
      </c>
      <c r="B121" s="3" t="s">
        <v>520</v>
      </c>
      <c r="C121" s="3" t="s">
        <v>520</v>
      </c>
      <c r="D121" s="3" t="s">
        <v>374</v>
      </c>
      <c r="E121" s="3">
        <v>1681</v>
      </c>
      <c r="F121" s="3" t="s">
        <v>9</v>
      </c>
      <c r="G121" s="3" t="s">
        <v>10</v>
      </c>
      <c r="H121" s="3" t="s">
        <v>11</v>
      </c>
      <c r="I121" s="3" t="s">
        <v>542</v>
      </c>
      <c r="J121" s="3">
        <v>4</v>
      </c>
      <c r="K121" s="3" t="s">
        <v>543</v>
      </c>
      <c r="L121" s="3" t="s">
        <v>521</v>
      </c>
      <c r="M121" s="3" t="s">
        <v>522</v>
      </c>
      <c r="N121" s="3">
        <v>1122680920</v>
      </c>
      <c r="O121" s="3">
        <v>11982483167</v>
      </c>
      <c r="P121" s="3" t="s">
        <v>523</v>
      </c>
      <c r="Q121" t="str">
        <f t="shared" si="1"/>
        <v>QUANTIDADE DE LINHAS  4  VALOR DA CONTA  218.94</v>
      </c>
      <c r="R121" t="s">
        <v>555</v>
      </c>
      <c r="S121" t="s">
        <v>554</v>
      </c>
      <c r="T121" t="s">
        <v>557</v>
      </c>
    </row>
    <row r="122" spans="1:20" x14ac:dyDescent="0.25">
      <c r="A122" s="2">
        <v>4644081000113</v>
      </c>
      <c r="B122" s="3" t="s">
        <v>524</v>
      </c>
      <c r="C122" s="3" t="s">
        <v>524</v>
      </c>
      <c r="D122" s="3" t="s">
        <v>423</v>
      </c>
      <c r="E122" s="3">
        <v>2011</v>
      </c>
      <c r="F122" s="3" t="s">
        <v>9</v>
      </c>
      <c r="G122" s="3" t="s">
        <v>10</v>
      </c>
      <c r="H122" s="3" t="s">
        <v>11</v>
      </c>
      <c r="I122" s="3" t="s">
        <v>542</v>
      </c>
      <c r="J122" s="3">
        <v>4</v>
      </c>
      <c r="K122" s="3" t="s">
        <v>543</v>
      </c>
      <c r="L122" s="3" t="s">
        <v>525</v>
      </c>
      <c r="M122" s="3" t="s">
        <v>526</v>
      </c>
      <c r="N122" s="3">
        <v>11982451642</v>
      </c>
      <c r="O122" s="3">
        <v>1120925370</v>
      </c>
      <c r="P122" s="3" t="s">
        <v>527</v>
      </c>
      <c r="Q122" t="str">
        <f t="shared" si="1"/>
        <v>QUANTIDADE DE LINHAS  4  VALOR DA CONTA  25.95</v>
      </c>
      <c r="R122" t="s">
        <v>555</v>
      </c>
      <c r="S122" t="s">
        <v>554</v>
      </c>
      <c r="T122" t="s">
        <v>557</v>
      </c>
    </row>
    <row r="123" spans="1:20" x14ac:dyDescent="0.25">
      <c r="A123" s="2">
        <v>12319985000100</v>
      </c>
      <c r="B123" s="3" t="s">
        <v>528</v>
      </c>
      <c r="C123" s="3" t="s">
        <v>528</v>
      </c>
      <c r="D123" s="3" t="s">
        <v>529</v>
      </c>
      <c r="E123" s="3">
        <v>900</v>
      </c>
      <c r="F123" s="3" t="s">
        <v>16</v>
      </c>
      <c r="G123" s="3" t="s">
        <v>17</v>
      </c>
      <c r="H123" s="3" t="s">
        <v>11</v>
      </c>
      <c r="I123" s="3" t="s">
        <v>542</v>
      </c>
      <c r="J123" s="3">
        <v>50</v>
      </c>
      <c r="K123" s="3" t="s">
        <v>543</v>
      </c>
      <c r="L123" s="3" t="s">
        <v>530</v>
      </c>
      <c r="M123" s="3" t="s">
        <v>531</v>
      </c>
      <c r="N123" s="3">
        <v>1133609908</v>
      </c>
      <c r="O123" s="3">
        <v>11970694407</v>
      </c>
      <c r="P123" s="3" t="s">
        <v>532</v>
      </c>
      <c r="Q123" t="str">
        <f t="shared" si="1"/>
        <v>QUANTIDADE DE LINHAS  50  VALOR DA CONTA  294.56</v>
      </c>
      <c r="R123" t="s">
        <v>555</v>
      </c>
      <c r="S123" t="s">
        <v>554</v>
      </c>
      <c r="T123" t="s">
        <v>557</v>
      </c>
    </row>
    <row r="124" spans="1:20" x14ac:dyDescent="0.25">
      <c r="A124" s="2">
        <v>7747023000103</v>
      </c>
      <c r="B124" s="3" t="s">
        <v>533</v>
      </c>
      <c r="C124" s="3" t="s">
        <v>533</v>
      </c>
      <c r="D124" s="3" t="s">
        <v>534</v>
      </c>
      <c r="E124" s="3">
        <v>116</v>
      </c>
      <c r="F124" s="3" t="s">
        <v>9</v>
      </c>
      <c r="G124" s="3" t="s">
        <v>10</v>
      </c>
      <c r="H124" s="3" t="s">
        <v>11</v>
      </c>
      <c r="I124" s="3" t="s">
        <v>542</v>
      </c>
      <c r="J124" s="3">
        <v>3</v>
      </c>
      <c r="K124" s="3" t="s">
        <v>543</v>
      </c>
      <c r="L124" s="3" t="s">
        <v>535</v>
      </c>
      <c r="M124" s="3" t="s">
        <v>536</v>
      </c>
      <c r="N124" s="3">
        <v>11983151138</v>
      </c>
      <c r="O124" s="3"/>
      <c r="P124" s="3" t="s">
        <v>537</v>
      </c>
      <c r="Q124" t="str">
        <f t="shared" si="1"/>
        <v>QUANTIDADE DE LINHAS  3  VALOR DA CONTA  25.80</v>
      </c>
      <c r="R124" t="s">
        <v>555</v>
      </c>
      <c r="S124" t="s">
        <v>554</v>
      </c>
      <c r="T124" t="s">
        <v>557</v>
      </c>
    </row>
    <row r="125" spans="1:20" x14ac:dyDescent="0.25">
      <c r="A125" s="2">
        <v>298405000158</v>
      </c>
      <c r="B125" s="3" t="s">
        <v>538</v>
      </c>
      <c r="C125" s="3" t="s">
        <v>538</v>
      </c>
      <c r="D125" s="3" t="s">
        <v>513</v>
      </c>
      <c r="E125" s="3">
        <v>1301</v>
      </c>
      <c r="F125" s="3" t="s">
        <v>16</v>
      </c>
      <c r="G125" s="3" t="s">
        <v>17</v>
      </c>
      <c r="H125" s="3" t="s">
        <v>11</v>
      </c>
      <c r="I125" s="3" t="s">
        <v>542</v>
      </c>
      <c r="J125" s="3">
        <v>12</v>
      </c>
      <c r="K125" s="3" t="s">
        <v>543</v>
      </c>
      <c r="L125" s="3" t="s">
        <v>539</v>
      </c>
      <c r="M125" s="3" t="s">
        <v>540</v>
      </c>
      <c r="N125" s="3">
        <v>1126937503</v>
      </c>
      <c r="O125" s="3">
        <v>11972938311</v>
      </c>
      <c r="P125" s="3" t="s">
        <v>541</v>
      </c>
      <c r="Q125" t="str">
        <f t="shared" si="1"/>
        <v>QUANTIDADE DE LINHAS  12  VALOR DA CONTA  15.71</v>
      </c>
      <c r="R125" t="s">
        <v>555</v>
      </c>
      <c r="S125" t="s">
        <v>554</v>
      </c>
      <c r="T125" t="s">
        <v>557</v>
      </c>
    </row>
  </sheetData>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Fabiano Maidana</dc:creator>
  <cp:lastModifiedBy>Fernando Doria</cp:lastModifiedBy>
  <dcterms:created xsi:type="dcterms:W3CDTF">2016-09-26T17:41:01Z</dcterms:created>
  <dcterms:modified xsi:type="dcterms:W3CDTF">2016-09-27T21:34:54Z</dcterms:modified>
</cp:coreProperties>
</file>